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02\OneDrive\研究\エクセル\"/>
    </mc:Choice>
  </mc:AlternateContent>
  <xr:revisionPtr revIDLastSave="0" documentId="13_ncr:1_{AEEF587E-201E-4709-B824-05E17F08C4A4}" xr6:coauthVersionLast="47" xr6:coauthVersionMax="47" xr10:uidLastSave="{00000000-0000-0000-0000-000000000000}"/>
  <bookViews>
    <workbookView xWindow="2205" yWindow="1995" windowWidth="13635" windowHeight="11768" activeTab="2" xr2:uid="{38B92C87-5584-48A8-BC1A-83D77667B687}"/>
  </bookViews>
  <sheets>
    <sheet name="Sheet1" sheetId="1" r:id="rId1"/>
    <sheet name="10分割" sheetId="4" r:id="rId2"/>
    <sheet name="newt10" sheetId="8" r:id="rId3"/>
    <sheet name="Sheet2" sheetId="7" r:id="rId4"/>
    <sheet name="s" sheetId="2" r:id="rId5"/>
    <sheet name="t" sheetId="3" r:id="rId6"/>
    <sheet name="s10" sheetId="5" r:id="rId7"/>
    <sheet name="t10" sheetId="6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4" l="1"/>
  <c r="M12" i="4"/>
  <c r="L12" i="4"/>
  <c r="F12" i="4"/>
  <c r="G12" i="4"/>
  <c r="H12" i="4"/>
  <c r="I12" i="4"/>
  <c r="J12" i="4"/>
  <c r="K12" i="4"/>
  <c r="E12" i="4"/>
  <c r="K35" i="4"/>
  <c r="A8" i="4"/>
  <c r="P11" i="4" s="1"/>
  <c r="B7" i="4"/>
  <c r="C7" i="4" s="1"/>
  <c r="D7" i="4" s="1"/>
  <c r="E7" i="4" s="1"/>
  <c r="F7" i="4" s="1"/>
  <c r="G7" i="4" s="1"/>
  <c r="H7" i="4" s="1"/>
  <c r="I7" i="4" s="1"/>
  <c r="J7" i="4" s="1"/>
  <c r="K7" i="4" s="1"/>
  <c r="F6" i="1"/>
  <c r="L11" i="1" s="1"/>
  <c r="K6" i="1"/>
  <c r="K7" i="1"/>
  <c r="L6" i="1"/>
  <c r="L7" i="1"/>
  <c r="L8" i="1"/>
  <c r="G9" i="1"/>
  <c r="L14" i="1" s="1"/>
  <c r="G6" i="1"/>
  <c r="D3" i="4"/>
  <c r="K14" i="1"/>
  <c r="K12" i="1"/>
  <c r="K13" i="1"/>
  <c r="N14" i="1"/>
  <c r="N13" i="1"/>
  <c r="M11" i="1"/>
  <c r="N11" i="1"/>
  <c r="M12" i="1"/>
  <c r="N12" i="1"/>
  <c r="M13" i="1"/>
  <c r="L12" i="1"/>
  <c r="L13" i="1"/>
  <c r="F7" i="1"/>
  <c r="K8" i="1" s="1"/>
  <c r="I6" i="1"/>
  <c r="H6" i="1"/>
  <c r="I11" i="1"/>
  <c r="G11" i="1"/>
  <c r="H11" i="1"/>
  <c r="D7" i="1"/>
  <c r="C7" i="1"/>
  <c r="B7" i="1"/>
  <c r="N7" i="1"/>
  <c r="M7" i="1"/>
  <c r="M8" i="1"/>
  <c r="N8" i="1"/>
  <c r="M9" i="1"/>
  <c r="N9" i="1"/>
  <c r="K9" i="1"/>
  <c r="M6" i="1"/>
  <c r="N6" i="1"/>
  <c r="I9" i="1"/>
  <c r="I7" i="1"/>
  <c r="I8" i="1"/>
  <c r="H7" i="1"/>
  <c r="H8" i="1"/>
  <c r="H9" i="1"/>
  <c r="G7" i="1"/>
  <c r="G8" i="1"/>
  <c r="F9" i="1"/>
  <c r="F8" i="1"/>
  <c r="A10" i="1"/>
  <c r="A9" i="1"/>
  <c r="A8" i="1"/>
  <c r="D3" i="1"/>
  <c r="Q11" i="4" l="1"/>
  <c r="A9" i="4"/>
  <c r="F10" i="4"/>
  <c r="E10" i="4"/>
  <c r="K11" i="1"/>
  <c r="L9" i="1"/>
  <c r="M14" i="1"/>
  <c r="A10" i="4" l="1"/>
  <c r="S12" i="4" s="1"/>
  <c r="P12" i="4"/>
  <c r="Q12" i="4"/>
  <c r="R12" i="4"/>
  <c r="R11" i="4"/>
  <c r="G10" i="4"/>
  <c r="F23" i="4"/>
  <c r="F35" i="4"/>
  <c r="G23" i="4" l="1"/>
  <c r="H10" i="4"/>
  <c r="A11" i="4"/>
  <c r="P13" i="4"/>
  <c r="T13" i="4"/>
  <c r="Q13" i="4"/>
  <c r="F37" i="4" s="1"/>
  <c r="R13" i="4"/>
  <c r="S13" i="4"/>
  <c r="S11" i="4"/>
  <c r="F36" i="4"/>
  <c r="F24" i="4"/>
  <c r="G36" i="4"/>
  <c r="G35" i="4"/>
  <c r="G24" i="4"/>
  <c r="H36" i="4"/>
  <c r="S14" i="4" l="1"/>
  <c r="Q14" i="4"/>
  <c r="T14" i="4"/>
  <c r="R14" i="4"/>
  <c r="P14" i="4"/>
  <c r="A12" i="4"/>
  <c r="U14" i="4" s="1"/>
  <c r="I10" i="4"/>
  <c r="T11" i="4"/>
  <c r="T12" i="4"/>
  <c r="I25" i="4" s="1"/>
  <c r="H23" i="4"/>
  <c r="H35" i="4"/>
  <c r="I37" i="4"/>
  <c r="F25" i="4"/>
  <c r="H37" i="4"/>
  <c r="H25" i="4"/>
  <c r="G37" i="4"/>
  <c r="G25" i="4"/>
  <c r="H24" i="4"/>
  <c r="A13" i="4" l="1"/>
  <c r="K10" i="4" s="1"/>
  <c r="T15" i="4"/>
  <c r="P15" i="4"/>
  <c r="V15" i="4"/>
  <c r="Q15" i="4"/>
  <c r="R15" i="4"/>
  <c r="U15" i="4"/>
  <c r="S15" i="4"/>
  <c r="J10" i="4"/>
  <c r="U11" i="4"/>
  <c r="U12" i="4"/>
  <c r="U13" i="4"/>
  <c r="F38" i="4"/>
  <c r="H38" i="4"/>
  <c r="I38" i="4"/>
  <c r="I26" i="4"/>
  <c r="F26" i="4"/>
  <c r="G38" i="4"/>
  <c r="G26" i="4"/>
  <c r="I36" i="4"/>
  <c r="I24" i="4"/>
  <c r="I23" i="4"/>
  <c r="I35" i="4"/>
  <c r="H26" i="4"/>
  <c r="S16" i="4" l="1"/>
  <c r="T16" i="4"/>
  <c r="Q16" i="4"/>
  <c r="U16" i="4"/>
  <c r="R16" i="4"/>
  <c r="V16" i="4"/>
  <c r="P16" i="4"/>
  <c r="A14" i="4"/>
  <c r="L10" i="4" s="1"/>
  <c r="V11" i="4"/>
  <c r="V12" i="4"/>
  <c r="V13" i="4"/>
  <c r="V14" i="4"/>
  <c r="F39" i="4"/>
  <c r="J35" i="4"/>
  <c r="J23" i="4"/>
  <c r="G39" i="4"/>
  <c r="G27" i="4"/>
  <c r="I39" i="4"/>
  <c r="I27" i="4"/>
  <c r="J27" i="4"/>
  <c r="J39" i="4"/>
  <c r="K39" i="4"/>
  <c r="J38" i="4"/>
  <c r="J26" i="4"/>
  <c r="H39" i="4"/>
  <c r="H27" i="4"/>
  <c r="F27" i="4"/>
  <c r="J37" i="4"/>
  <c r="J25" i="4"/>
  <c r="J36" i="4"/>
  <c r="J24" i="4"/>
  <c r="W16" i="4" l="1"/>
  <c r="A15" i="4"/>
  <c r="W17" i="4"/>
  <c r="P17" i="4"/>
  <c r="Q17" i="4"/>
  <c r="T17" i="4"/>
  <c r="V17" i="4"/>
  <c r="R17" i="4"/>
  <c r="S17" i="4"/>
  <c r="U17" i="4"/>
  <c r="W11" i="4"/>
  <c r="W12" i="4"/>
  <c r="W13" i="4"/>
  <c r="W14" i="4"/>
  <c r="W15" i="4"/>
  <c r="F40" i="4"/>
  <c r="G40" i="4"/>
  <c r="G28" i="4"/>
  <c r="H40" i="4"/>
  <c r="H28" i="4"/>
  <c r="F28" i="4"/>
  <c r="K26" i="4"/>
  <c r="K38" i="4"/>
  <c r="J28" i="4"/>
  <c r="J40" i="4"/>
  <c r="K25" i="4"/>
  <c r="K37" i="4"/>
  <c r="K24" i="4"/>
  <c r="K36" i="4"/>
  <c r="I28" i="4"/>
  <c r="I40" i="4"/>
  <c r="K23" i="4"/>
  <c r="K27" i="4"/>
  <c r="K40" i="4"/>
  <c r="K28" i="4"/>
  <c r="L40" i="4"/>
  <c r="X17" i="4" l="1"/>
  <c r="M10" i="4"/>
  <c r="T18" i="4"/>
  <c r="U18" i="4"/>
  <c r="S18" i="4"/>
  <c r="V18" i="4"/>
  <c r="W18" i="4"/>
  <c r="Y18" i="4"/>
  <c r="R18" i="4"/>
  <c r="A16" i="4"/>
  <c r="N10" i="4" s="1"/>
  <c r="P18" i="4"/>
  <c r="X18" i="4"/>
  <c r="Q18" i="4"/>
  <c r="X11" i="4"/>
  <c r="X12" i="4"/>
  <c r="X13" i="4"/>
  <c r="X14" i="4"/>
  <c r="X15" i="4"/>
  <c r="X16" i="4"/>
  <c r="F29" i="4"/>
  <c r="F41" i="4"/>
  <c r="K41" i="4"/>
  <c r="K29" i="4"/>
  <c r="H29" i="4"/>
  <c r="H41" i="4"/>
  <c r="L35" i="4"/>
  <c r="L23" i="4"/>
  <c r="G29" i="4"/>
  <c r="G41" i="4"/>
  <c r="L39" i="4"/>
  <c r="L27" i="4"/>
  <c r="L29" i="4"/>
  <c r="L41" i="4"/>
  <c r="L26" i="4"/>
  <c r="L38" i="4"/>
  <c r="I29" i="4"/>
  <c r="I41" i="4"/>
  <c r="J29" i="4"/>
  <c r="J41" i="4"/>
  <c r="L25" i="4"/>
  <c r="L37" i="4"/>
  <c r="L28" i="4"/>
  <c r="L36" i="4"/>
  <c r="L24" i="4"/>
  <c r="A17" i="4" l="1"/>
  <c r="O10" i="4" s="1"/>
  <c r="Q19" i="4"/>
  <c r="Y19" i="4"/>
  <c r="V19" i="4"/>
  <c r="W19" i="4"/>
  <c r="R19" i="4"/>
  <c r="G43" i="4" s="1"/>
  <c r="Z19" i="4"/>
  <c r="X19" i="4"/>
  <c r="S19" i="4"/>
  <c r="P19" i="4"/>
  <c r="T19" i="4"/>
  <c r="U19" i="4"/>
  <c r="Y11" i="4"/>
  <c r="Y12" i="4"/>
  <c r="N36" i="4" s="1"/>
  <c r="Y13" i="4"/>
  <c r="N37" i="4" s="1"/>
  <c r="Y14" i="4"/>
  <c r="N38" i="4" s="1"/>
  <c r="Y15" i="4"/>
  <c r="Y16" i="4"/>
  <c r="Y17" i="4"/>
  <c r="F30" i="4"/>
  <c r="F42" i="4"/>
  <c r="M41" i="4"/>
  <c r="M29" i="4"/>
  <c r="M25" i="4"/>
  <c r="M37" i="4"/>
  <c r="M42" i="4"/>
  <c r="M30" i="4"/>
  <c r="M36" i="4"/>
  <c r="M24" i="4"/>
  <c r="J43" i="4"/>
  <c r="N39" i="4"/>
  <c r="N40" i="4"/>
  <c r="N41" i="4"/>
  <c r="M35" i="4"/>
  <c r="M23" i="4"/>
  <c r="J30" i="4"/>
  <c r="J42" i="4"/>
  <c r="G30" i="4"/>
  <c r="G42" i="4"/>
  <c r="M28" i="4"/>
  <c r="M40" i="4"/>
  <c r="I30" i="4"/>
  <c r="I42" i="4"/>
  <c r="M39" i="4"/>
  <c r="M27" i="4"/>
  <c r="L42" i="4"/>
  <c r="L30" i="4"/>
  <c r="N42" i="4"/>
  <c r="M38" i="4"/>
  <c r="M26" i="4"/>
  <c r="H42" i="4"/>
  <c r="H30" i="4"/>
  <c r="K42" i="4"/>
  <c r="K30" i="4"/>
  <c r="V20" i="4" l="1"/>
  <c r="W20" i="4"/>
  <c r="S20" i="4"/>
  <c r="U20" i="4"/>
  <c r="P20" i="4"/>
  <c r="X20" i="4"/>
  <c r="Q20" i="4"/>
  <c r="F32" i="4" s="1"/>
  <c r="Y20" i="4"/>
  <c r="N32" i="4" s="1"/>
  <c r="T20" i="4"/>
  <c r="R20" i="4"/>
  <c r="Z20" i="4"/>
  <c r="Z11" i="4"/>
  <c r="Z12" i="4"/>
  <c r="Z13" i="4"/>
  <c r="Z14" i="4"/>
  <c r="Z15" i="4"/>
  <c r="Z16" i="4"/>
  <c r="Z17" i="4"/>
  <c r="Z18" i="4"/>
  <c r="F43" i="4"/>
  <c r="N35" i="4"/>
  <c r="N23" i="4"/>
  <c r="K43" i="4"/>
  <c r="L43" i="4"/>
  <c r="H43" i="4"/>
  <c r="M43" i="4"/>
  <c r="I43" i="4"/>
  <c r="N43" i="4"/>
  <c r="O31" i="4"/>
  <c r="N25" i="4"/>
  <c r="K31" i="4"/>
  <c r="G31" i="4"/>
  <c r="N28" i="4"/>
  <c r="I31" i="4"/>
  <c r="N31" i="4"/>
  <c r="J31" i="4"/>
  <c r="N30" i="4"/>
  <c r="N29" i="4"/>
  <c r="H31" i="4"/>
  <c r="M31" i="4"/>
  <c r="N24" i="4"/>
  <c r="N27" i="4"/>
  <c r="F31" i="4"/>
  <c r="N26" i="4"/>
  <c r="L31" i="4"/>
  <c r="O35" i="4" l="1"/>
  <c r="O23" i="4"/>
  <c r="F44" i="4"/>
  <c r="O44" i="4"/>
  <c r="O32" i="4"/>
  <c r="O26" i="4"/>
  <c r="O38" i="4"/>
  <c r="O37" i="4"/>
  <c r="O25" i="4"/>
  <c r="G32" i="4"/>
  <c r="G44" i="4"/>
  <c r="O30" i="4"/>
  <c r="O42" i="4"/>
  <c r="O41" i="4"/>
  <c r="O29" i="4"/>
  <c r="M32" i="4"/>
  <c r="M44" i="4"/>
  <c r="O40" i="4"/>
  <c r="O28" i="4"/>
  <c r="N44" i="4"/>
  <c r="H44" i="4"/>
  <c r="H32" i="4"/>
  <c r="O36" i="4"/>
  <c r="O24" i="4"/>
  <c r="O43" i="4"/>
  <c r="K32" i="4"/>
  <c r="K44" i="4"/>
  <c r="J32" i="4"/>
  <c r="J44" i="4"/>
  <c r="O39" i="4"/>
  <c r="O27" i="4"/>
  <c r="I44" i="4"/>
  <c r="I32" i="4"/>
  <c r="L32" i="4"/>
  <c r="L44" i="4"/>
</calcChain>
</file>

<file path=xl/sharedStrings.xml><?xml version="1.0" encoding="utf-8"?>
<sst xmlns="http://schemas.openxmlformats.org/spreadsheetml/2006/main" count="11" uniqueCount="8">
  <si>
    <t>sdata</t>
    <phoneticPr fontId="2"/>
  </si>
  <si>
    <t>tdata</t>
    <phoneticPr fontId="2"/>
  </si>
  <si>
    <t>kσ</t>
    <phoneticPr fontId="2"/>
  </si>
  <si>
    <t>kδ1</t>
    <phoneticPr fontId="2"/>
  </si>
  <si>
    <t>kδ2</t>
    <phoneticPr fontId="2"/>
  </si>
  <si>
    <t>s</t>
    <phoneticPr fontId="2"/>
  </si>
  <si>
    <t>t</t>
    <phoneticPr fontId="2"/>
  </si>
  <si>
    <t>T10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</si>
</sst>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4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A1B1-C455-474A-9182-6FDBB7ACCED5}">
  <dimension ref="A2:N24"/>
  <sheetViews>
    <sheetView workbookViewId="0">
      <selection activeCell="F7" sqref="F7"/>
    </sheetView>
  </sheetViews>
  <sheetFormatPr defaultRowHeight="17.649999999999999" x14ac:dyDescent="0.7"/>
  <cols>
    <col min="7" max="7" width="12.625" bestFit="1" customWidth="1"/>
    <col min="12" max="12" width="12.625" bestFit="1" customWidth="1"/>
  </cols>
  <sheetData>
    <row r="2" spans="1:14" ht="18" thickBot="1" x14ac:dyDescent="0.75">
      <c r="C2" t="s">
        <v>2</v>
      </c>
      <c r="D2" t="s">
        <v>3</v>
      </c>
      <c r="E2" t="s">
        <v>4</v>
      </c>
    </row>
    <row r="3" spans="1:14" ht="18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5" spans="1:14" x14ac:dyDescent="0.7">
      <c r="K5" t="s">
        <v>0</v>
      </c>
    </row>
    <row r="6" spans="1:14" x14ac:dyDescent="0.7">
      <c r="F6">
        <f>EXP($C$3*(A7-$B$3))*$D$3*(A7^$E$3)</f>
        <v>0</v>
      </c>
      <c r="G6">
        <f>EXP($C$3*(A7-$B$3))*$D$3*($A$8^$E$3)</f>
        <v>7.153611274364637E-5</v>
      </c>
      <c r="H6">
        <f>EXP($C$3*(A7-$B$3))*$D$3*($A$9^$E$3)</f>
        <v>1.2412069066717059E-4</v>
      </c>
      <c r="I6">
        <f>EXP($C$3*(A7-$B$3))*$D$3*($A$10^$E$3)</f>
        <v>1.7133130959624251E-4</v>
      </c>
      <c r="K6" s="1">
        <f>F6</f>
        <v>0</v>
      </c>
      <c r="L6" s="1">
        <f>G6</f>
        <v>7.153611274364637E-5</v>
      </c>
      <c r="M6" s="1">
        <f t="shared" ref="M6:N6" si="0">H6</f>
        <v>1.2412069066717059E-4</v>
      </c>
      <c r="N6" s="1">
        <f t="shared" si="0"/>
        <v>1.7133130959624251E-4</v>
      </c>
    </row>
    <row r="7" spans="1:14" x14ac:dyDescent="0.7">
      <c r="A7">
        <v>0</v>
      </c>
      <c r="B7">
        <f>1/3</f>
        <v>0.33333333333333331</v>
      </c>
      <c r="C7">
        <f>2/3</f>
        <v>0.66666666666666663</v>
      </c>
      <c r="D7">
        <f>3/3</f>
        <v>1</v>
      </c>
      <c r="F7">
        <f>EXP($C$3*(A8-$B$3))*$D$3*($A$7^$E$3)</f>
        <v>0</v>
      </c>
      <c r="G7">
        <f t="shared" ref="G7:G8" si="1">EXP($C$3*(A8-$B$3))*$D$3*($A$8^$E$3)</f>
        <v>1.0117675757028321E-4</v>
      </c>
      <c r="H7">
        <f t="shared" ref="H7:H9" si="2">EXP($C$3*(A8-$B$3))*$D$3*($A$9^$E$3)</f>
        <v>1.7554950286565309E-4</v>
      </c>
      <c r="I7">
        <f t="shared" ref="I7:I8" si="3">EXP($C$3*(A8-$B$3))*$D$3*($A$10^$E$3)</f>
        <v>2.4232161506088806E-4</v>
      </c>
      <c r="K7" s="1">
        <f>F7-F6/$A$8</f>
        <v>0</v>
      </c>
      <c r="L7" s="1">
        <f>(G7-G6)/$A$8</f>
        <v>8.8921934479910511E-5</v>
      </c>
      <c r="M7" s="1">
        <f>(H7-H6)/$A$8</f>
        <v>1.5428643659544749E-4</v>
      </c>
      <c r="N7" s="1">
        <f t="shared" ref="M7:N9" si="4">(I7-I6)/$A$8</f>
        <v>2.1297091639393663E-4</v>
      </c>
    </row>
    <row r="8" spans="1:14" x14ac:dyDescent="0.7">
      <c r="A8">
        <f>1/3</f>
        <v>0.33333333333333331</v>
      </c>
      <c r="F8">
        <f t="shared" ref="F8" si="5">EXP($C$3*(A9-$B$3))*$D$3*($A$7^$E$3)</f>
        <v>0</v>
      </c>
      <c r="G8">
        <f t="shared" si="1"/>
        <v>1.4309886125794637E-4</v>
      </c>
      <c r="H8">
        <f t="shared" si="2"/>
        <v>2.4828759645734942E-4</v>
      </c>
      <c r="I8">
        <f t="shared" si="3"/>
        <v>3.4272641272687157E-4</v>
      </c>
      <c r="K8" s="1">
        <f t="shared" ref="K8:K9" si="6">F8-F7/$A$8</f>
        <v>0</v>
      </c>
      <c r="L8" s="1">
        <f>(G8-G7)/$A$8</f>
        <v>1.257663110629895E-4</v>
      </c>
      <c r="M8" s="1">
        <f t="shared" si="4"/>
        <v>2.1821428077508899E-4</v>
      </c>
      <c r="N8" s="1">
        <f t="shared" si="4"/>
        <v>3.0121439299795054E-4</v>
      </c>
    </row>
    <row r="9" spans="1:14" x14ac:dyDescent="0.7">
      <c r="A9">
        <f>2/3</f>
        <v>0.66666666666666663</v>
      </c>
      <c r="F9">
        <f>EXP($C$3*(A10-$B$3))*$D$3*($A$7^$E$3)</f>
        <v>0</v>
      </c>
      <c r="G9">
        <f>EXP($C$3*(A10-$B$3))*$D$3*($A$8^$E$3)</f>
        <v>2.0239118731489573E-4</v>
      </c>
      <c r="H9">
        <f t="shared" si="2"/>
        <v>3.511643698686258E-4</v>
      </c>
      <c r="I9">
        <f>EXP($C$3*(A10-$B$3))*$D$3*($A$10^$E$3)</f>
        <v>4.8473345620082391E-4</v>
      </c>
      <c r="K9" s="1">
        <f t="shared" si="6"/>
        <v>0</v>
      </c>
      <c r="L9" s="1">
        <f t="shared" ref="L9" si="7">(G9-G8)/$A$8</f>
        <v>1.7787697817084807E-4</v>
      </c>
      <c r="M9" s="1">
        <f t="shared" si="4"/>
        <v>3.0863032023382915E-4</v>
      </c>
      <c r="N9" s="1">
        <f t="shared" si="4"/>
        <v>4.2602113042185702E-4</v>
      </c>
    </row>
    <row r="10" spans="1:14" x14ac:dyDescent="0.7">
      <c r="A10">
        <f>3/3</f>
        <v>1</v>
      </c>
    </row>
    <row r="11" spans="1:14" x14ac:dyDescent="0.7">
      <c r="G11">
        <f t="shared" ref="G11:H11" si="8">EXP($C$3*($A$7-$B$3))*$D$3*(B7^$E$3)</f>
        <v>7.153611274364637E-5</v>
      </c>
      <c r="H11">
        <f t="shared" si="8"/>
        <v>1.2412069066717059E-4</v>
      </c>
      <c r="I11">
        <f>EXP($C$3*($A$7-$B$3))*$D$3*(D7^$E$3)</f>
        <v>1.7133130959624251E-4</v>
      </c>
      <c r="K11">
        <f>F6</f>
        <v>0</v>
      </c>
      <c r="L11">
        <f>(G6-F6)/$A$8</f>
        <v>2.1460833823093911E-4</v>
      </c>
      <c r="M11">
        <f t="shared" ref="M11:N13" si="9">(H6-G6)/$A$8</f>
        <v>1.5775373377057266E-4</v>
      </c>
      <c r="N11">
        <f t="shared" si="9"/>
        <v>1.4163185678721577E-4</v>
      </c>
    </row>
    <row r="12" spans="1:14" x14ac:dyDescent="0.7">
      <c r="K12">
        <f t="shared" ref="K12:K13" si="10">F7</f>
        <v>0</v>
      </c>
      <c r="L12">
        <f t="shared" ref="L12:L13" si="11">(G7-F7)/$A$8</f>
        <v>3.0353027271084966E-4</v>
      </c>
      <c r="M12">
        <f t="shared" si="9"/>
        <v>2.2311823588610965E-4</v>
      </c>
      <c r="N12">
        <f t="shared" si="9"/>
        <v>2.0031633658570492E-4</v>
      </c>
    </row>
    <row r="13" spans="1:14" x14ac:dyDescent="0.7">
      <c r="K13">
        <f t="shared" si="10"/>
        <v>0</v>
      </c>
      <c r="L13">
        <f t="shared" si="11"/>
        <v>4.2929658377383913E-4</v>
      </c>
      <c r="M13">
        <f t="shared" si="9"/>
        <v>3.1556620559820917E-4</v>
      </c>
      <c r="N13">
        <f>(I8-H8)/$A$8</f>
        <v>2.8331644880856647E-4</v>
      </c>
    </row>
    <row r="14" spans="1:14" x14ac:dyDescent="0.7">
      <c r="K14">
        <f>F9</f>
        <v>0</v>
      </c>
      <c r="L14">
        <f t="shared" ref="L14" si="12">(G9-F9)/$A$8</f>
        <v>6.071735619446872E-4</v>
      </c>
      <c r="M14">
        <f t="shared" ref="M14" si="13">(H9-G9)/$A$8</f>
        <v>4.4631954766119025E-4</v>
      </c>
      <c r="N14">
        <f>(I9-H9)/$A$8</f>
        <v>4.0070725899659434E-4</v>
      </c>
    </row>
    <row r="16" spans="1:14" x14ac:dyDescent="0.7">
      <c r="K16">
        <v>0</v>
      </c>
      <c r="L16">
        <v>2.14608338230939E-4</v>
      </c>
      <c r="M16">
        <v>1.5775373377057266E-4</v>
      </c>
      <c r="N16">
        <v>1.4163185678721577E-4</v>
      </c>
    </row>
    <row r="17" spans="11:14" x14ac:dyDescent="0.7">
      <c r="K17">
        <v>0</v>
      </c>
      <c r="L17">
        <v>3.0353027271084966E-4</v>
      </c>
      <c r="M17">
        <v>2.2311823588610965E-4</v>
      </c>
      <c r="N17">
        <v>2.0031633658570492E-4</v>
      </c>
    </row>
    <row r="18" spans="11:14" x14ac:dyDescent="0.7">
      <c r="K18">
        <v>0</v>
      </c>
      <c r="L18">
        <v>4.2929658377383913E-4</v>
      </c>
      <c r="M18">
        <v>3.1556620559820917E-4</v>
      </c>
      <c r="N18">
        <v>2.8331644880856647E-4</v>
      </c>
    </row>
    <row r="19" spans="11:14" x14ac:dyDescent="0.7">
      <c r="K19">
        <v>0</v>
      </c>
      <c r="L19">
        <v>6.071735619446872E-4</v>
      </c>
      <c r="M19">
        <v>4.4631954766119025E-4</v>
      </c>
      <c r="N19">
        <v>4.0070725899659434E-4</v>
      </c>
    </row>
    <row r="20" spans="11:14" x14ac:dyDescent="0.7">
      <c r="K20" t="s">
        <v>1</v>
      </c>
    </row>
    <row r="21" spans="11:14" x14ac:dyDescent="0.7">
      <c r="K21" s="1">
        <v>0</v>
      </c>
      <c r="L21" s="1">
        <v>0</v>
      </c>
      <c r="M21" s="1">
        <v>0</v>
      </c>
      <c r="N21" s="1">
        <v>0</v>
      </c>
    </row>
    <row r="22" spans="11:14" x14ac:dyDescent="0.7">
      <c r="K22" s="1">
        <v>2.1460833823093911E-4</v>
      </c>
      <c r="L22" s="1">
        <v>3.0353027271084966E-4</v>
      </c>
      <c r="M22" s="1">
        <v>4.2929658377383913E-4</v>
      </c>
      <c r="N22" s="1">
        <v>6.071735619446872E-4</v>
      </c>
    </row>
    <row r="23" spans="11:14" x14ac:dyDescent="0.7">
      <c r="K23" s="1">
        <v>1.5775373377057266E-4</v>
      </c>
      <c r="L23" s="1">
        <v>2.2311823588610965E-4</v>
      </c>
      <c r="M23" s="1">
        <v>3.1556620559820917E-4</v>
      </c>
      <c r="N23" s="1">
        <v>4.4631954766119025E-4</v>
      </c>
    </row>
    <row r="24" spans="11:14" x14ac:dyDescent="0.7">
      <c r="K24" s="1">
        <v>1.4163185678721577E-4</v>
      </c>
      <c r="L24" s="1">
        <v>2.0031633658570492E-4</v>
      </c>
      <c r="M24" s="1">
        <v>2.8331644880856647E-4</v>
      </c>
      <c r="N24" s="1">
        <v>4.0070725899659434E-4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355F-CE55-4EF2-8D7B-F9C201DF6BE0}">
  <dimension ref="A2:Z68"/>
  <sheetViews>
    <sheetView topLeftCell="A4" workbookViewId="0">
      <selection activeCell="E16" sqref="E16:E25"/>
    </sheetView>
  </sheetViews>
  <sheetFormatPr defaultRowHeight="17.649999999999999" x14ac:dyDescent="0.7"/>
  <cols>
    <col min="5" max="15" width="12.625" bestFit="1" customWidth="1"/>
  </cols>
  <sheetData>
    <row r="2" spans="1:26" ht="18" thickBot="1" x14ac:dyDescent="0.75">
      <c r="C2" t="s">
        <v>2</v>
      </c>
      <c r="D2" t="s">
        <v>3</v>
      </c>
      <c r="E2" t="s">
        <v>4</v>
      </c>
    </row>
    <row r="3" spans="1:26" ht="18" thickBot="1" x14ac:dyDescent="0.75">
      <c r="B3" s="2">
        <v>0.5</v>
      </c>
      <c r="C3" s="3">
        <v>1.04</v>
      </c>
      <c r="D3" s="3">
        <f>2.88184*10^-4</f>
        <v>2.8818400000000003E-4</v>
      </c>
      <c r="E3" s="4">
        <v>0.79500000000000004</v>
      </c>
    </row>
    <row r="7" spans="1:26" x14ac:dyDescent="0.7">
      <c r="A7">
        <v>0</v>
      </c>
      <c r="B7">
        <f>A7+0.1</f>
        <v>0.1</v>
      </c>
      <c r="C7">
        <f t="shared" ref="C7:K7" si="0">B7+0.1</f>
        <v>0.2</v>
      </c>
      <c r="D7">
        <f t="shared" si="0"/>
        <v>0.30000000000000004</v>
      </c>
      <c r="E7">
        <f t="shared" si="0"/>
        <v>0.4</v>
      </c>
      <c r="F7">
        <f t="shared" si="0"/>
        <v>0.5</v>
      </c>
      <c r="G7">
        <f t="shared" si="0"/>
        <v>0.6</v>
      </c>
      <c r="H7">
        <f t="shared" si="0"/>
        <v>0.7</v>
      </c>
      <c r="I7">
        <f t="shared" si="0"/>
        <v>0.79999999999999993</v>
      </c>
      <c r="J7">
        <f t="shared" si="0"/>
        <v>0.89999999999999991</v>
      </c>
      <c r="K7">
        <f t="shared" si="0"/>
        <v>0.99999999999999989</v>
      </c>
    </row>
    <row r="8" spans="1:26" x14ac:dyDescent="0.7">
      <c r="A8">
        <f>0.1+A7</f>
        <v>0.1</v>
      </c>
    </row>
    <row r="9" spans="1:26" x14ac:dyDescent="0.7">
      <c r="A9">
        <f t="shared" ref="A9:A17" si="1">0.1+A8</f>
        <v>0.2</v>
      </c>
      <c r="E9" s="5">
        <v>0</v>
      </c>
      <c r="F9" s="5">
        <v>1</v>
      </c>
      <c r="G9" s="5">
        <v>2</v>
      </c>
      <c r="H9" s="5">
        <v>3</v>
      </c>
      <c r="I9" s="5">
        <v>4</v>
      </c>
      <c r="J9" s="5">
        <v>5</v>
      </c>
      <c r="K9" s="5">
        <v>6</v>
      </c>
      <c r="L9" s="5">
        <v>7</v>
      </c>
      <c r="M9" s="5">
        <v>8</v>
      </c>
      <c r="N9" s="5">
        <v>9</v>
      </c>
      <c r="O9" s="5">
        <v>10</v>
      </c>
    </row>
    <row r="10" spans="1:26" x14ac:dyDescent="0.7">
      <c r="A10">
        <f t="shared" si="1"/>
        <v>0.30000000000000004</v>
      </c>
      <c r="D10" s="5">
        <v>0</v>
      </c>
      <c r="E10">
        <f t="shared" ref="E10" si="2">EXP($C$3*(A7-$B$3))*$D$3*($A$7^$E$3)</f>
        <v>0</v>
      </c>
      <c r="F10">
        <f>$D$3*(A8^$E$3)</f>
        <v>4.6202966967061898E-5</v>
      </c>
      <c r="G10">
        <f>$D$3*($A$9^$E$3)</f>
        <v>8.0165722610270478E-5</v>
      </c>
      <c r="H10">
        <f>$D$3*($A$10^$E$3)</f>
        <v>1.1065760402813787E-4</v>
      </c>
      <c r="I10">
        <f>$D$3*($A$11^$E$3)</f>
        <v>1.3909373149582181E-4</v>
      </c>
      <c r="J10">
        <f>$D$3*($A$12^$E$3)</f>
        <v>1.6609288108294197E-4</v>
      </c>
      <c r="K10">
        <f>$D$3*($A$13^$E$3)</f>
        <v>1.9199950504392822E-4</v>
      </c>
      <c r="L10">
        <f>$D$3*($A$14^$E$3)</f>
        <v>2.170315174265494E-4</v>
      </c>
      <c r="M10">
        <f>$D$3*($A$15^$E$3)</f>
        <v>2.4133838642593496E-4</v>
      </c>
      <c r="N10">
        <f>$D$3*($A$16^$E$3)</f>
        <v>2.6502854974611674E-4</v>
      </c>
      <c r="O10">
        <f>$D$3*($A$17^$E$3)</f>
        <v>2.8818399999999998E-4</v>
      </c>
    </row>
    <row r="11" spans="1:26" x14ac:dyDescent="0.7">
      <c r="A11">
        <f t="shared" si="1"/>
        <v>0.4</v>
      </c>
      <c r="D11" s="5">
        <v>1</v>
      </c>
      <c r="P11">
        <f t="shared" ref="P11:P19" si="3">EXP($C$3*(A8-$B$3))*$D$3*($A$7^$E$3)</f>
        <v>0</v>
      </c>
      <c r="Q11">
        <f t="shared" ref="Q11:Q19" si="4">EXP($C$3*(A8-$B$3))*$D$3*($A$8^$E$3)</f>
        <v>3.0479185746012684E-5</v>
      </c>
      <c r="R11">
        <f t="shared" ref="R11:R19" si="5">EXP($C$3*(A8-$B$3))*$D$3*($A$9^$E$3)</f>
        <v>5.2883745575119731E-5</v>
      </c>
      <c r="S11">
        <f t="shared" ref="S11:S19" si="6">EXP($C$3*(A8-$B$3))*$D$3*($A$10^$E$3)</f>
        <v>7.2998638156436408E-5</v>
      </c>
      <c r="T11">
        <f t="shared" ref="T11:T19" si="7">EXP($C$3*(A8-$B$3))*$D$3*($A$11^$E$3)</f>
        <v>9.1757390415846715E-5</v>
      </c>
      <c r="U11">
        <f t="shared" ref="U11:U19" si="8">EXP($C$3*(A8-$B$3))*$D$3*($A$12^$E$3)</f>
        <v>1.0956819671832661E-4</v>
      </c>
      <c r="V11">
        <f t="shared" ref="V11:V19" si="9">EXP($C$3*(A8-$B$3))*$D$3*($A$13^$E$3)</f>
        <v>1.2665828542024739E-4</v>
      </c>
      <c r="W11">
        <f t="shared" ref="W11:W19" si="10">EXP($C$3*(A8-$B$3))*$D$3*($A$14^$E$3)</f>
        <v>1.4317141011958349E-4</v>
      </c>
      <c r="X11">
        <f t="shared" ref="X11:X19" si="11">EXP($C$3*(A8-$B$3))*$D$3*($A$15^$E$3)</f>
        <v>1.5920617203572679E-4</v>
      </c>
      <c r="Y11">
        <f t="shared" ref="Y11:Y19" si="12">EXP($C$3*(A8-$B$3))*$D$3*($A$16^$E$3)</f>
        <v>1.7483410538260362E-4</v>
      </c>
      <c r="Z11">
        <f t="shared" ref="Z11:Z20" si="13">EXP($C$3*(A8-$B$3))*$D$3*($A$17^$E$3)</f>
        <v>1.9010929906927316E-4</v>
      </c>
    </row>
    <row r="12" spans="1:26" x14ac:dyDescent="0.7">
      <c r="A12">
        <f t="shared" si="1"/>
        <v>0.5</v>
      </c>
      <c r="D12" s="5">
        <v>2</v>
      </c>
      <c r="E12">
        <f>(F10-E10)/$A$8</f>
        <v>4.6202966967061896E-4</v>
      </c>
      <c r="F12">
        <f t="shared" ref="F12:K12" si="14">(G10-F10)/$A$8</f>
        <v>3.396275564320858E-4</v>
      </c>
      <c r="G12">
        <f t="shared" si="14"/>
        <v>3.0491881417867391E-4</v>
      </c>
      <c r="H12">
        <f t="shared" si="14"/>
        <v>2.8436127467683934E-4</v>
      </c>
      <c r="I12">
        <f t="shared" si="14"/>
        <v>2.699914958712016E-4</v>
      </c>
      <c r="J12">
        <f t="shared" si="14"/>
        <v>2.5906623960986251E-4</v>
      </c>
      <c r="K12">
        <f t="shared" si="14"/>
        <v>2.5032012382621187E-4</v>
      </c>
      <c r="L12">
        <f>(M10-L10)/$A$8</f>
        <v>2.430686899938556E-4</v>
      </c>
      <c r="M12">
        <f t="shared" ref="M12" si="15">(N10-M10)/$A$8</f>
        <v>2.3690163320181772E-4</v>
      </c>
      <c r="N12">
        <f>(O10-N10)/$A$8</f>
        <v>2.3155450253883241E-4</v>
      </c>
      <c r="P12">
        <f t="shared" si="3"/>
        <v>0</v>
      </c>
      <c r="Q12">
        <f t="shared" si="4"/>
        <v>3.3819718369232212E-5</v>
      </c>
      <c r="R12">
        <f t="shared" si="5"/>
        <v>5.8679828147792779E-5</v>
      </c>
      <c r="S12">
        <f t="shared" si="6"/>
        <v>8.0999322106599831E-5</v>
      </c>
      <c r="T12">
        <f t="shared" si="7"/>
        <v>1.0181404214729023E-4</v>
      </c>
      <c r="U12">
        <f t="shared" si="8"/>
        <v>1.2157692092293524E-4</v>
      </c>
      <c r="V12">
        <f t="shared" si="9"/>
        <v>1.4054009112113419E-4</v>
      </c>
      <c r="W12">
        <f t="shared" si="10"/>
        <v>1.5886306179959528E-4</v>
      </c>
      <c r="X12">
        <f t="shared" si="11"/>
        <v>1.7665524091621093E-4</v>
      </c>
      <c r="Y12">
        <f t="shared" si="12"/>
        <v>1.9399600286729588E-4</v>
      </c>
      <c r="Z12">
        <f t="shared" si="13"/>
        <v>2.1094536473094803E-4</v>
      </c>
    </row>
    <row r="13" spans="1:26" x14ac:dyDescent="0.7">
      <c r="A13">
        <f t="shared" si="1"/>
        <v>0.6</v>
      </c>
      <c r="D13" s="5">
        <v>3</v>
      </c>
      <c r="P13">
        <f t="shared" si="3"/>
        <v>0</v>
      </c>
      <c r="Q13">
        <f t="shared" si="4"/>
        <v>3.7526374887616955E-5</v>
      </c>
      <c r="R13">
        <f t="shared" si="5"/>
        <v>6.5111164007159084E-5</v>
      </c>
      <c r="S13">
        <f t="shared" si="6"/>
        <v>8.9876884657336988E-5</v>
      </c>
      <c r="T13">
        <f t="shared" si="7"/>
        <v>1.1297290748342754E-4</v>
      </c>
      <c r="U13">
        <f t="shared" si="8"/>
        <v>1.3490180676332478E-4</v>
      </c>
      <c r="V13">
        <f t="shared" si="9"/>
        <v>1.5594334904188794E-4</v>
      </c>
      <c r="W13">
        <f t="shared" si="10"/>
        <v>1.7627452564211325E-4</v>
      </c>
      <c r="X13">
        <f t="shared" si="11"/>
        <v>1.9601673568384951E-4</v>
      </c>
      <c r="Y13">
        <f t="shared" si="12"/>
        <v>2.1525805303335621E-4</v>
      </c>
      <c r="Z13">
        <f t="shared" si="13"/>
        <v>2.3406507266779346E-4</v>
      </c>
    </row>
    <row r="14" spans="1:26" x14ac:dyDescent="0.7">
      <c r="A14">
        <f t="shared" si="1"/>
        <v>0.7</v>
      </c>
      <c r="D14" s="5">
        <v>4</v>
      </c>
      <c r="E14">
        <v>4.6202966967061896E-4</v>
      </c>
      <c r="F14">
        <v>3.396275564320858E-4</v>
      </c>
      <c r="G14">
        <v>3.0491881417867391E-4</v>
      </c>
      <c r="H14">
        <v>2.8436127467683934E-4</v>
      </c>
      <c r="I14">
        <v>2.699914958712016E-4</v>
      </c>
      <c r="J14">
        <v>2.5906623960986251E-4</v>
      </c>
      <c r="K14">
        <v>2.5032012382621187E-4</v>
      </c>
      <c r="L14">
        <v>2.430686899938556E-4</v>
      </c>
      <c r="M14">
        <v>2.3690163320181772E-4</v>
      </c>
      <c r="N14">
        <v>2.3155450253883241E-4</v>
      </c>
      <c r="P14">
        <f t="shared" si="3"/>
        <v>0</v>
      </c>
      <c r="Q14">
        <f t="shared" si="4"/>
        <v>4.1639282646632464E-5</v>
      </c>
      <c r="R14">
        <f t="shared" si="5"/>
        <v>7.224737720242682E-5</v>
      </c>
      <c r="S14">
        <f t="shared" si="6"/>
        <v>9.9727432102176457E-5</v>
      </c>
      <c r="T14">
        <f t="shared" si="7"/>
        <v>1.2535478953674723E-4</v>
      </c>
      <c r="U14">
        <f t="shared" si="8"/>
        <v>1.4968710615351918E-4</v>
      </c>
      <c r="V14">
        <f t="shared" si="9"/>
        <v>1.7303481103793833E-4</v>
      </c>
      <c r="W14">
        <f t="shared" si="10"/>
        <v>1.9559429384251737E-4</v>
      </c>
      <c r="X14">
        <f t="shared" si="11"/>
        <v>2.1750025908586691E-4</v>
      </c>
      <c r="Y14">
        <f t="shared" si="12"/>
        <v>2.3885043357005462E-4</v>
      </c>
      <c r="Z14">
        <f t="shared" si="13"/>
        <v>2.5971871111203247E-4</v>
      </c>
    </row>
    <row r="15" spans="1:26" x14ac:dyDescent="0.7">
      <c r="A15">
        <f t="shared" si="1"/>
        <v>0.79999999999999993</v>
      </c>
      <c r="D15" s="5">
        <v>5</v>
      </c>
      <c r="P15">
        <f t="shared" si="3"/>
        <v>0</v>
      </c>
      <c r="Q15">
        <f t="shared" si="4"/>
        <v>4.6202966967061898E-5</v>
      </c>
      <c r="R15">
        <f t="shared" si="5"/>
        <v>8.0165722610270478E-5</v>
      </c>
      <c r="S15">
        <f t="shared" si="6"/>
        <v>1.1065760402813787E-4</v>
      </c>
      <c r="T15">
        <f t="shared" si="7"/>
        <v>1.3909373149582181E-4</v>
      </c>
      <c r="U15">
        <f t="shared" si="8"/>
        <v>1.6609288108294197E-4</v>
      </c>
      <c r="V15">
        <f t="shared" si="9"/>
        <v>1.9199950504392822E-4</v>
      </c>
      <c r="W15">
        <f t="shared" si="10"/>
        <v>2.170315174265494E-4</v>
      </c>
      <c r="X15">
        <f t="shared" si="11"/>
        <v>2.4133838642593496E-4</v>
      </c>
      <c r="Y15">
        <f t="shared" si="12"/>
        <v>2.6502854974611674E-4</v>
      </c>
      <c r="Z15">
        <f t="shared" si="13"/>
        <v>2.8818399999999998E-4</v>
      </c>
    </row>
    <row r="16" spans="1:26" x14ac:dyDescent="0.7">
      <c r="A16">
        <f t="shared" si="1"/>
        <v>0.89999999999999991</v>
      </c>
      <c r="D16" s="5">
        <v>6</v>
      </c>
      <c r="E16">
        <v>4.6202966967061896E-4</v>
      </c>
      <c r="P16">
        <f t="shared" si="3"/>
        <v>0</v>
      </c>
      <c r="Q16">
        <f t="shared" si="4"/>
        <v>5.1266833165101513E-5</v>
      </c>
      <c r="R16">
        <f t="shared" si="5"/>
        <v>8.8951922276992525E-5</v>
      </c>
      <c r="S16">
        <f t="shared" si="6"/>
        <v>1.2278572776949016E-4</v>
      </c>
      <c r="T16">
        <f t="shared" si="7"/>
        <v>1.5433846774366976E-4</v>
      </c>
      <c r="U16">
        <f t="shared" si="8"/>
        <v>1.8429673640787213E-4</v>
      </c>
      <c r="V16">
        <f t="shared" si="9"/>
        <v>2.1304273814030944E-4</v>
      </c>
      <c r="W16">
        <f t="shared" si="10"/>
        <v>2.4081827046751837E-4</v>
      </c>
      <c r="X16">
        <f t="shared" si="11"/>
        <v>2.6778918336681007E-4</v>
      </c>
      <c r="Y16">
        <f t="shared" si="12"/>
        <v>2.9407579936390822E-4</v>
      </c>
      <c r="Z16">
        <f t="shared" si="13"/>
        <v>3.1976909749939221E-4</v>
      </c>
    </row>
    <row r="17" spans="1:26" x14ac:dyDescent="0.7">
      <c r="A17">
        <f t="shared" si="1"/>
        <v>0.99999999999999989</v>
      </c>
      <c r="D17" s="5">
        <v>7</v>
      </c>
      <c r="E17">
        <v>3.396275564320858E-4</v>
      </c>
      <c r="P17">
        <f t="shared" si="3"/>
        <v>0</v>
      </c>
      <c r="Q17">
        <f t="shared" si="4"/>
        <v>5.6885701402077913E-5</v>
      </c>
      <c r="R17">
        <f t="shared" si="5"/>
        <v>9.870109342416645E-5</v>
      </c>
      <c r="S17">
        <f t="shared" si="6"/>
        <v>1.3624309939016719E-4</v>
      </c>
      <c r="T17">
        <f t="shared" si="7"/>
        <v>1.7125403401934994E-4</v>
      </c>
      <c r="U17">
        <f t="shared" si="8"/>
        <v>2.0449574255763215E-4</v>
      </c>
      <c r="V17">
        <f t="shared" si="9"/>
        <v>2.3639231915694868E-4</v>
      </c>
      <c r="W17">
        <f t="shared" si="10"/>
        <v>2.6721206246274219E-4</v>
      </c>
      <c r="X17">
        <f t="shared" si="11"/>
        <v>2.9713899968528482E-4</v>
      </c>
      <c r="Y17">
        <f t="shared" si="12"/>
        <v>3.2630664075385612E-4</v>
      </c>
      <c r="Z17">
        <f t="shared" si="13"/>
        <v>3.5481593605327089E-4</v>
      </c>
    </row>
    <row r="18" spans="1:26" x14ac:dyDescent="0.7">
      <c r="D18" s="5">
        <v>8</v>
      </c>
      <c r="E18">
        <v>3.0491881417867391E-4</v>
      </c>
      <c r="P18">
        <f t="shared" si="3"/>
        <v>0</v>
      </c>
      <c r="Q18">
        <f t="shared" si="4"/>
        <v>6.3120400153937646E-5</v>
      </c>
      <c r="R18">
        <f t="shared" si="5"/>
        <v>1.0951877816412051E-4</v>
      </c>
      <c r="S18">
        <f t="shared" si="6"/>
        <v>1.5117540506243843E-4</v>
      </c>
      <c r="T18">
        <f t="shared" si="7"/>
        <v>1.9002355405399934E-4</v>
      </c>
      <c r="U18">
        <f t="shared" si="8"/>
        <v>2.2690856897024847E-4</v>
      </c>
      <c r="V18">
        <f t="shared" si="9"/>
        <v>2.6230102487509986E-4</v>
      </c>
      <c r="W18">
        <f t="shared" si="10"/>
        <v>2.9649862606758983E-4</v>
      </c>
      <c r="X18">
        <f t="shared" si="11"/>
        <v>3.297055692239532E-4</v>
      </c>
      <c r="Y18">
        <f t="shared" si="12"/>
        <v>3.6206999702245431E-4</v>
      </c>
      <c r="Z18">
        <f t="shared" si="13"/>
        <v>3.9370392405600762E-4</v>
      </c>
    </row>
    <row r="19" spans="1:26" x14ac:dyDescent="0.7">
      <c r="D19" s="5">
        <v>9</v>
      </c>
      <c r="E19">
        <v>2.8436127467683934E-4</v>
      </c>
      <c r="P19">
        <f t="shared" si="3"/>
        <v>0</v>
      </c>
      <c r="Q19">
        <f t="shared" si="4"/>
        <v>7.0038424725262809E-5</v>
      </c>
      <c r="R19">
        <f t="shared" si="5"/>
        <v>1.2152208607270686E-4</v>
      </c>
      <c r="S19">
        <f t="shared" si="6"/>
        <v>1.6774429822932912E-4</v>
      </c>
      <c r="T19">
        <f t="shared" si="7"/>
        <v>2.1085022202299344E-4</v>
      </c>
      <c r="U19">
        <f t="shared" si="8"/>
        <v>2.5177785135363148E-4</v>
      </c>
      <c r="V19">
        <f t="shared" si="9"/>
        <v>2.9104933652623427E-4</v>
      </c>
      <c r="W19">
        <f t="shared" si="10"/>
        <v>3.2899501036644279E-4</v>
      </c>
      <c r="X19">
        <f t="shared" si="11"/>
        <v>3.6584144959909948E-4</v>
      </c>
      <c r="Y19">
        <f t="shared" si="12"/>
        <v>4.0175303340739889E-4</v>
      </c>
      <c r="Z19">
        <f t="shared" si="13"/>
        <v>4.3685405323459596E-4</v>
      </c>
    </row>
    <row r="20" spans="1:26" x14ac:dyDescent="0.7">
      <c r="D20" s="5">
        <v>10</v>
      </c>
      <c r="E20">
        <v>2.699914958712016E-4</v>
      </c>
      <c r="P20">
        <f t="shared" ref="P20:Y20" si="16">EXP($C$3*($A$17-$B$3))*$D$3*(A7^$E$3)</f>
        <v>0</v>
      </c>
      <c r="Q20">
        <f t="shared" si="16"/>
        <v>7.7714667936722392E-5</v>
      </c>
      <c r="R20">
        <f t="shared" si="16"/>
        <v>1.3484096198856612E-4</v>
      </c>
      <c r="S20">
        <f t="shared" si="16"/>
        <v>1.8612914962475873E-4</v>
      </c>
      <c r="T20">
        <f t="shared" si="16"/>
        <v>2.3395950227576512E-4</v>
      </c>
      <c r="U20">
        <f t="shared" si="16"/>
        <v>2.7937281839965746E-4</v>
      </c>
      <c r="V20">
        <f t="shared" si="16"/>
        <v>3.2294847621238803E-4</v>
      </c>
      <c r="W20">
        <f t="shared" si="16"/>
        <v>3.6505301316756172E-4</v>
      </c>
      <c r="X20">
        <f t="shared" si="16"/>
        <v>4.0593783890213698E-4</v>
      </c>
      <c r="Y20">
        <f t="shared" si="16"/>
        <v>4.4578534863256501E-4</v>
      </c>
      <c r="Z20">
        <f t="shared" si="13"/>
        <v>4.847334562008238E-4</v>
      </c>
    </row>
    <row r="21" spans="1:26" x14ac:dyDescent="0.7">
      <c r="D21" s="5"/>
      <c r="E21">
        <v>2.5906623960986251E-4</v>
      </c>
    </row>
    <row r="22" spans="1:26" x14ac:dyDescent="0.7">
      <c r="E22">
        <v>2.5032012382621187E-4</v>
      </c>
      <c r="F22" s="5">
        <v>1</v>
      </c>
      <c r="G22" s="5">
        <v>2</v>
      </c>
      <c r="H22" s="5">
        <v>3</v>
      </c>
      <c r="I22" s="5">
        <v>4</v>
      </c>
      <c r="J22" s="5">
        <v>5</v>
      </c>
      <c r="K22" s="5">
        <v>6</v>
      </c>
      <c r="L22" s="5">
        <v>7</v>
      </c>
      <c r="M22" s="5">
        <v>8</v>
      </c>
      <c r="N22" s="5">
        <v>9</v>
      </c>
      <c r="O22" s="5">
        <v>10</v>
      </c>
    </row>
    <row r="23" spans="1:26" x14ac:dyDescent="0.7">
      <c r="D23" t="s">
        <v>5</v>
      </c>
      <c r="E23">
        <v>2.430686899938556E-4</v>
      </c>
      <c r="F23" s="1">
        <f t="shared" ref="F23:O23" si="17">(Q11-F10)/$A$8</f>
        <v>-1.5723781221049213E-4</v>
      </c>
      <c r="G23" s="1">
        <f t="shared" si="17"/>
        <v>-2.7281977035150746E-4</v>
      </c>
      <c r="H23" s="1">
        <f t="shared" si="17"/>
        <v>-3.7658965871701462E-4</v>
      </c>
      <c r="I23" s="1">
        <f t="shared" si="17"/>
        <v>-4.7336341079975091E-4</v>
      </c>
      <c r="J23" s="1">
        <f t="shared" si="17"/>
        <v>-5.6524684364615352E-4</v>
      </c>
      <c r="K23" s="1">
        <f t="shared" si="17"/>
        <v>-6.5341219623680819E-4</v>
      </c>
      <c r="L23" s="1">
        <f t="shared" si="17"/>
        <v>-7.3860107306965913E-4</v>
      </c>
      <c r="M23" s="1">
        <f t="shared" si="17"/>
        <v>-8.2132214390208175E-4</v>
      </c>
      <c r="N23" s="1">
        <f t="shared" si="17"/>
        <v>-9.0194444363513114E-4</v>
      </c>
      <c r="O23" s="1">
        <f t="shared" si="17"/>
        <v>-9.8074700930726798E-4</v>
      </c>
    </row>
    <row r="24" spans="1:26" x14ac:dyDescent="0.7">
      <c r="E24">
        <v>2.3690163320181772E-4</v>
      </c>
      <c r="F24" s="1">
        <f t="shared" ref="F24:F32" si="18">(Q12-Q11)/$A$8</f>
        <v>3.340532623219528E-5</v>
      </c>
      <c r="G24" s="1">
        <f t="shared" ref="G24:G32" si="19">(R12-R11)/$A$8</f>
        <v>5.7960825726730475E-5</v>
      </c>
      <c r="H24" s="1">
        <f t="shared" ref="H24:H32" si="20">(S12-S11)/$A$8</f>
        <v>8.0006839501634231E-5</v>
      </c>
      <c r="I24" s="1">
        <f t="shared" ref="I24:I32" si="21">(T12-T11)/$A$8</f>
        <v>1.0056651731443512E-4</v>
      </c>
      <c r="J24" s="1">
        <f t="shared" ref="J24:J32" si="22">(U12-U11)/$A$8</f>
        <v>1.2008724204608633E-4</v>
      </c>
      <c r="K24" s="1">
        <f t="shared" ref="K24:K32" si="23">(V12-V11)/$A$8</f>
        <v>1.3881805700886797E-4</v>
      </c>
      <c r="L24" s="1">
        <f t="shared" ref="L24:L32" si="24">(W12-W11)/$A$8</f>
        <v>1.5691651680011789E-4</v>
      </c>
      <c r="M24" s="1">
        <f t="shared" ref="M24:M32" si="25">(X12-X11)/$A$8</f>
        <v>1.7449068880484136E-4</v>
      </c>
      <c r="N24" s="1">
        <f t="shared" ref="N24:N32" si="26">(Y12-Y11)/$A$8</f>
        <v>1.9161897484692265E-4</v>
      </c>
      <c r="O24" s="1">
        <f t="shared" ref="O24:O32" si="27">(Z12-Z11)/$A$8</f>
        <v>2.083606566167487E-4</v>
      </c>
    </row>
    <row r="25" spans="1:26" x14ac:dyDescent="0.7">
      <c r="E25">
        <v>2.3155450253883241E-4</v>
      </c>
      <c r="F25" s="1">
        <f t="shared" si="18"/>
        <v>3.7066565183847423E-5</v>
      </c>
      <c r="G25" s="1">
        <f t="shared" si="19"/>
        <v>6.4313358593663056E-5</v>
      </c>
      <c r="H25" s="1">
        <f t="shared" si="20"/>
        <v>8.8775625507371569E-5</v>
      </c>
      <c r="I25" s="1">
        <f t="shared" si="21"/>
        <v>1.1158865336137317E-4</v>
      </c>
      <c r="J25" s="1">
        <f t="shared" si="22"/>
        <v>1.3324885840389536E-4</v>
      </c>
      <c r="K25" s="1">
        <f t="shared" si="23"/>
        <v>1.5403257920753753E-4</v>
      </c>
      <c r="L25" s="1">
        <f t="shared" si="24"/>
        <v>1.741146384251797E-4</v>
      </c>
      <c r="M25" s="1">
        <f t="shared" si="25"/>
        <v>1.9361494767638582E-4</v>
      </c>
      <c r="N25" s="1">
        <f t="shared" si="26"/>
        <v>2.1262050166060326E-4</v>
      </c>
      <c r="O25" s="1">
        <f t="shared" si="27"/>
        <v>2.3119707936845423E-4</v>
      </c>
    </row>
    <row r="26" spans="1:26" x14ac:dyDescent="0.7">
      <c r="E26" s="5">
        <v>4</v>
      </c>
      <c r="F26" s="1">
        <f t="shared" si="18"/>
        <v>4.1129077590155091E-5</v>
      </c>
      <c r="G26" s="1">
        <f t="shared" si="19"/>
        <v>7.1362131952677353E-5</v>
      </c>
      <c r="H26" s="1">
        <f t="shared" si="20"/>
        <v>9.8505474448394695E-5</v>
      </c>
      <c r="I26" s="1">
        <f t="shared" si="21"/>
        <v>1.2381882053319682E-4</v>
      </c>
      <c r="J26" s="1">
        <f t="shared" si="22"/>
        <v>1.47852993901944E-4</v>
      </c>
      <c r="K26" s="1">
        <f t="shared" si="23"/>
        <v>1.7091461996050387E-4</v>
      </c>
      <c r="L26" s="1">
        <f t="shared" si="24"/>
        <v>1.9319768200404123E-4</v>
      </c>
      <c r="M26" s="1">
        <f t="shared" si="25"/>
        <v>2.1483523402017403E-4</v>
      </c>
      <c r="N26" s="1">
        <f t="shared" si="26"/>
        <v>2.3592380536698412E-4</v>
      </c>
      <c r="O26" s="1">
        <f t="shared" si="27"/>
        <v>2.5653638444239011E-4</v>
      </c>
    </row>
    <row r="27" spans="1:26" x14ac:dyDescent="0.7">
      <c r="E27" s="5">
        <v>5</v>
      </c>
      <c r="F27" s="1">
        <f t="shared" si="18"/>
        <v>4.5636843204294346E-5</v>
      </c>
      <c r="G27" s="1">
        <f t="shared" si="19"/>
        <v>7.9183454078436585E-5</v>
      </c>
      <c r="H27" s="1">
        <f t="shared" si="20"/>
        <v>1.0930171925961415E-4</v>
      </c>
      <c r="I27" s="1">
        <f t="shared" si="21"/>
        <v>1.373894195907458E-4</v>
      </c>
      <c r="J27" s="1">
        <f t="shared" si="22"/>
        <v>1.6405774929422785E-4</v>
      </c>
      <c r="K27" s="1">
        <f t="shared" si="23"/>
        <v>1.8964694005989887E-4</v>
      </c>
      <c r="L27" s="1">
        <f t="shared" si="24"/>
        <v>2.1437223584032031E-4</v>
      </c>
      <c r="M27" s="1">
        <f t="shared" si="25"/>
        <v>2.3838127340068053E-4</v>
      </c>
      <c r="N27" s="1">
        <f t="shared" si="26"/>
        <v>2.6178116176062117E-4</v>
      </c>
      <c r="O27" s="1">
        <f t="shared" si="27"/>
        <v>2.8465288887967509E-4</v>
      </c>
    </row>
    <row r="28" spans="1:26" x14ac:dyDescent="0.7">
      <c r="E28" s="5">
        <v>6</v>
      </c>
      <c r="F28" s="1">
        <f t="shared" si="18"/>
        <v>5.0638661980396144E-5</v>
      </c>
      <c r="G28" s="1">
        <f t="shared" si="19"/>
        <v>8.7861996667220466E-5</v>
      </c>
      <c r="H28" s="1">
        <f t="shared" si="20"/>
        <v>1.2128123741352292E-4</v>
      </c>
      <c r="I28" s="1">
        <f t="shared" si="21"/>
        <v>1.5244736247847958E-4</v>
      </c>
      <c r="J28" s="1">
        <f t="shared" si="22"/>
        <v>1.820385532493016E-4</v>
      </c>
      <c r="K28" s="1">
        <f t="shared" si="23"/>
        <v>2.1043233096381222E-4</v>
      </c>
      <c r="L28" s="1">
        <f t="shared" si="24"/>
        <v>2.378675304096897E-4</v>
      </c>
      <c r="M28" s="1">
        <f t="shared" si="25"/>
        <v>2.6450796940875101E-4</v>
      </c>
      <c r="N28" s="1">
        <f t="shared" si="26"/>
        <v>2.9047249617791479E-4</v>
      </c>
      <c r="O28" s="1">
        <f t="shared" si="27"/>
        <v>3.158509749939223E-4</v>
      </c>
    </row>
    <row r="29" spans="1:26" x14ac:dyDescent="0.7">
      <c r="E29" s="5">
        <v>7</v>
      </c>
      <c r="F29" s="1">
        <f t="shared" si="18"/>
        <v>5.6188682369764004E-5</v>
      </c>
      <c r="G29" s="1">
        <f t="shared" si="19"/>
        <v>9.7491711471739249E-5</v>
      </c>
      <c r="H29" s="1">
        <f t="shared" si="20"/>
        <v>1.3457371620677024E-4</v>
      </c>
      <c r="I29" s="1">
        <f t="shared" si="21"/>
        <v>1.6915566275680179E-4</v>
      </c>
      <c r="J29" s="1">
        <f t="shared" si="22"/>
        <v>2.0199006149760023E-4</v>
      </c>
      <c r="K29" s="1">
        <f t="shared" si="23"/>
        <v>2.3349581016639243E-4</v>
      </c>
      <c r="L29" s="1">
        <f t="shared" si="24"/>
        <v>2.6393791995223814E-4</v>
      </c>
      <c r="M29" s="1">
        <f t="shared" si="25"/>
        <v>2.9349816318474751E-4</v>
      </c>
      <c r="N29" s="1">
        <f t="shared" si="26"/>
        <v>3.2230841389947903E-4</v>
      </c>
      <c r="O29" s="1">
        <f t="shared" si="27"/>
        <v>3.5046838553878681E-4</v>
      </c>
    </row>
    <row r="30" spans="1:26" x14ac:dyDescent="0.7">
      <c r="E30" s="5">
        <v>8</v>
      </c>
      <c r="F30" s="1">
        <f t="shared" si="18"/>
        <v>6.2346987518597334E-5</v>
      </c>
      <c r="G30" s="1">
        <f t="shared" si="19"/>
        <v>1.0817684739954057E-4</v>
      </c>
      <c r="H30" s="1">
        <f t="shared" si="20"/>
        <v>1.4932305672271239E-4</v>
      </c>
      <c r="I30" s="1">
        <f t="shared" si="21"/>
        <v>1.8769520034649399E-4</v>
      </c>
      <c r="J30" s="1">
        <f t="shared" si="22"/>
        <v>2.2412826412616319E-4</v>
      </c>
      <c r="K30" s="1">
        <f t="shared" si="23"/>
        <v>2.5908705718151177E-4</v>
      </c>
      <c r="L30" s="1">
        <f t="shared" si="24"/>
        <v>2.9286563604847638E-4</v>
      </c>
      <c r="M30" s="1">
        <f t="shared" si="25"/>
        <v>3.2566569538668383E-4</v>
      </c>
      <c r="N30" s="1">
        <f t="shared" si="26"/>
        <v>3.576335626859819E-4</v>
      </c>
      <c r="O30" s="1">
        <f t="shared" si="27"/>
        <v>3.8887988002736735E-4</v>
      </c>
    </row>
    <row r="31" spans="1:26" x14ac:dyDescent="0.7">
      <c r="E31" s="5">
        <v>9</v>
      </c>
      <c r="F31" s="1">
        <f t="shared" si="18"/>
        <v>6.9180245713251624E-5</v>
      </c>
      <c r="G31" s="1">
        <f t="shared" si="19"/>
        <v>1.200330790858635E-4</v>
      </c>
      <c r="H31" s="1">
        <f t="shared" si="20"/>
        <v>1.6568893166890689E-4</v>
      </c>
      <c r="I31" s="1">
        <f t="shared" si="21"/>
        <v>2.0826667968994102E-4</v>
      </c>
      <c r="J31" s="1">
        <f t="shared" si="22"/>
        <v>2.4869282383383016E-4</v>
      </c>
      <c r="K31" s="1">
        <f t="shared" si="23"/>
        <v>2.8748311651134414E-4</v>
      </c>
      <c r="L31" s="1">
        <f t="shared" si="24"/>
        <v>3.2496384298852962E-4</v>
      </c>
      <c r="M31" s="1">
        <f t="shared" si="25"/>
        <v>3.6135880375146284E-4</v>
      </c>
      <c r="N31" s="1">
        <f t="shared" si="26"/>
        <v>3.9683036384944583E-4</v>
      </c>
      <c r="O31" s="1">
        <f t="shared" si="27"/>
        <v>4.3150129178588337E-4</v>
      </c>
    </row>
    <row r="32" spans="1:26" x14ac:dyDescent="0.7">
      <c r="E32" s="5">
        <v>10</v>
      </c>
      <c r="F32" s="1">
        <f t="shared" si="18"/>
        <v>7.6762432114595836E-5</v>
      </c>
      <c r="G32" s="1">
        <f t="shared" si="19"/>
        <v>1.3318875915859264E-4</v>
      </c>
      <c r="H32" s="1">
        <f t="shared" si="20"/>
        <v>1.8384851395429613E-4</v>
      </c>
      <c r="I32" s="1">
        <f t="shared" si="21"/>
        <v>2.3109280252771671E-4</v>
      </c>
      <c r="J32" s="1">
        <f t="shared" si="22"/>
        <v>2.7594967046025974E-4</v>
      </c>
      <c r="K32" s="1">
        <f t="shared" si="23"/>
        <v>3.1899139686153758E-4</v>
      </c>
      <c r="L32" s="1">
        <f t="shared" si="24"/>
        <v>3.6058002801118928E-4</v>
      </c>
      <c r="M32" s="1">
        <f t="shared" si="25"/>
        <v>4.0096389303037497E-4</v>
      </c>
      <c r="N32" s="1">
        <f t="shared" si="26"/>
        <v>4.4032315225166121E-4</v>
      </c>
      <c r="O32" s="1">
        <f t="shared" si="27"/>
        <v>4.7879402966227844E-4</v>
      </c>
    </row>
    <row r="33" spans="4:15" x14ac:dyDescent="0.7">
      <c r="D33" s="5"/>
    </row>
    <row r="34" spans="4:15" x14ac:dyDescent="0.7">
      <c r="E34" s="5"/>
    </row>
    <row r="35" spans="4:15" x14ac:dyDescent="0.7">
      <c r="E35" s="5">
        <v>1</v>
      </c>
      <c r="F35">
        <f t="shared" ref="F35:F44" si="28">(Q11-P11)/$A$8</f>
        <v>3.0479185746012683E-4</v>
      </c>
      <c r="G35">
        <f t="shared" ref="G35:G44" si="29">(R11-Q11)/$A$8</f>
        <v>2.2404559829107047E-4</v>
      </c>
      <c r="H35">
        <f t="shared" ref="H35:H44" si="30">(S11-R11)/$A$8</f>
        <v>2.0114892581316675E-4</v>
      </c>
      <c r="I35">
        <f t="shared" ref="I35:I44" si="31">(T11-S11)/$A$8</f>
        <v>1.8758752259410307E-4</v>
      </c>
      <c r="J35">
        <f t="shared" ref="J35:J44" si="32">(U11-T11)/$A$8</f>
        <v>1.7810806302479896E-4</v>
      </c>
      <c r="K35">
        <f t="shared" ref="K35:K44" si="33">(V11-U11)/$A$8</f>
        <v>1.7090088701920782E-4</v>
      </c>
      <c r="L35">
        <f t="shared" ref="L35:L44" si="34">(W11-V11)/$A$8</f>
        <v>1.6513124699336099E-4</v>
      </c>
      <c r="M35">
        <f t="shared" ref="M35:M44" si="35">(X11-W11)/$A$8</f>
        <v>1.6034761916143298E-4</v>
      </c>
      <c r="N35">
        <f t="shared" ref="N35:N44" si="36">(Y11-X11)/$A$8</f>
        <v>1.5627933346876828E-4</v>
      </c>
      <c r="O35">
        <f t="shared" ref="O35:O44" si="37">(Z11-Y11)/$A$8</f>
        <v>1.5275193686669546E-4</v>
      </c>
    </row>
    <row r="36" spans="4:15" x14ac:dyDescent="0.7">
      <c r="E36" s="5">
        <v>2</v>
      </c>
      <c r="F36">
        <f t="shared" si="28"/>
        <v>3.3819718369232208E-4</v>
      </c>
      <c r="G36">
        <f t="shared" si="29"/>
        <v>2.4860109778560566E-4</v>
      </c>
      <c r="H36">
        <f t="shared" si="30"/>
        <v>2.2319493958807051E-4</v>
      </c>
      <c r="I36">
        <f t="shared" si="31"/>
        <v>2.0814720040690396E-4</v>
      </c>
      <c r="J36">
        <f t="shared" si="32"/>
        <v>1.9762878775645017E-4</v>
      </c>
      <c r="K36">
        <f t="shared" si="33"/>
        <v>1.8963170198198947E-4</v>
      </c>
      <c r="L36">
        <f t="shared" si="34"/>
        <v>1.832297067846109E-4</v>
      </c>
      <c r="M36">
        <f t="shared" si="35"/>
        <v>1.7792179116615645E-4</v>
      </c>
      <c r="N36">
        <f t="shared" si="36"/>
        <v>1.7340761951084956E-4</v>
      </c>
      <c r="O36">
        <f t="shared" si="37"/>
        <v>1.6949361863652151E-4</v>
      </c>
    </row>
    <row r="37" spans="4:15" x14ac:dyDescent="0.7">
      <c r="E37" s="5">
        <v>3</v>
      </c>
      <c r="F37">
        <f t="shared" si="28"/>
        <v>3.7526374887616955E-4</v>
      </c>
      <c r="G37">
        <f t="shared" si="29"/>
        <v>2.758478911954213E-4</v>
      </c>
      <c r="H37">
        <f t="shared" si="30"/>
        <v>2.4765720650177903E-4</v>
      </c>
      <c r="I37">
        <f t="shared" si="31"/>
        <v>2.3096022826090556E-4</v>
      </c>
      <c r="J37">
        <f t="shared" si="32"/>
        <v>2.1928899279897236E-4</v>
      </c>
      <c r="K37">
        <f t="shared" si="33"/>
        <v>2.1041542278563163E-4</v>
      </c>
      <c r="L37">
        <f t="shared" si="34"/>
        <v>2.0331176600225307E-4</v>
      </c>
      <c r="M37">
        <f t="shared" si="35"/>
        <v>1.9742210041736257E-4</v>
      </c>
      <c r="N37">
        <f t="shared" si="36"/>
        <v>1.92413173495067E-4</v>
      </c>
      <c r="O37">
        <f t="shared" si="37"/>
        <v>1.8807019634437249E-4</v>
      </c>
    </row>
    <row r="38" spans="4:15" x14ac:dyDescent="0.7">
      <c r="E38" s="5">
        <v>4</v>
      </c>
      <c r="F38">
        <f t="shared" si="28"/>
        <v>4.163928264663246E-4</v>
      </c>
      <c r="G38">
        <f t="shared" si="29"/>
        <v>3.0608094555794355E-4</v>
      </c>
      <c r="H38">
        <f t="shared" si="30"/>
        <v>2.7480054899749635E-4</v>
      </c>
      <c r="I38">
        <f t="shared" si="31"/>
        <v>2.5627357434570766E-4</v>
      </c>
      <c r="J38">
        <f t="shared" si="32"/>
        <v>2.4332316616771955E-4</v>
      </c>
      <c r="K38">
        <f t="shared" si="33"/>
        <v>2.334770488441915E-4</v>
      </c>
      <c r="L38">
        <f t="shared" si="34"/>
        <v>2.2559482804579043E-4</v>
      </c>
      <c r="M38">
        <f t="shared" si="35"/>
        <v>2.1905965243349538E-4</v>
      </c>
      <c r="N38">
        <f t="shared" si="36"/>
        <v>2.1350174484187709E-4</v>
      </c>
      <c r="O38">
        <f t="shared" si="37"/>
        <v>2.0868277541977848E-4</v>
      </c>
    </row>
    <row r="39" spans="4:15" x14ac:dyDescent="0.7">
      <c r="E39" s="5">
        <v>5</v>
      </c>
      <c r="F39">
        <f t="shared" si="28"/>
        <v>4.6202966967061896E-4</v>
      </c>
      <c r="G39">
        <f t="shared" si="29"/>
        <v>3.396275564320858E-4</v>
      </c>
      <c r="H39">
        <f t="shared" si="30"/>
        <v>3.0491881417867391E-4</v>
      </c>
      <c r="I39">
        <f t="shared" si="31"/>
        <v>2.8436127467683934E-4</v>
      </c>
      <c r="J39">
        <f t="shared" si="32"/>
        <v>2.699914958712016E-4</v>
      </c>
      <c r="K39">
        <f t="shared" si="33"/>
        <v>2.5906623960986251E-4</v>
      </c>
      <c r="L39">
        <f t="shared" si="34"/>
        <v>2.5032012382621187E-4</v>
      </c>
      <c r="M39">
        <f t="shared" si="35"/>
        <v>2.430686899938556E-4</v>
      </c>
      <c r="N39">
        <f t="shared" si="36"/>
        <v>2.3690163320181772E-4</v>
      </c>
      <c r="O39">
        <f t="shared" si="37"/>
        <v>2.3155450253883241E-4</v>
      </c>
    </row>
    <row r="40" spans="4:15" x14ac:dyDescent="0.7">
      <c r="E40" s="5">
        <v>6</v>
      </c>
      <c r="F40">
        <f t="shared" si="28"/>
        <v>5.1266833165101511E-4</v>
      </c>
      <c r="G40">
        <f t="shared" si="29"/>
        <v>3.7685089111891008E-4</v>
      </c>
      <c r="H40">
        <f t="shared" si="30"/>
        <v>3.3833805492497639E-4</v>
      </c>
      <c r="I40">
        <f t="shared" si="31"/>
        <v>3.15527399741796E-4</v>
      </c>
      <c r="J40">
        <f t="shared" si="32"/>
        <v>2.9958268664202363E-4</v>
      </c>
      <c r="K40">
        <f t="shared" si="33"/>
        <v>2.8746001732437313E-4</v>
      </c>
      <c r="L40">
        <f t="shared" si="34"/>
        <v>2.7775532327208935E-4</v>
      </c>
      <c r="M40">
        <f t="shared" si="35"/>
        <v>2.6970912899291691E-4</v>
      </c>
      <c r="N40">
        <f t="shared" si="36"/>
        <v>2.628661599709815E-4</v>
      </c>
      <c r="O40">
        <f t="shared" si="37"/>
        <v>2.5693298135483992E-4</v>
      </c>
    </row>
    <row r="41" spans="4:15" x14ac:dyDescent="0.7">
      <c r="E41" s="5">
        <v>7</v>
      </c>
      <c r="F41">
        <f t="shared" si="28"/>
        <v>5.6885701402077909E-4</v>
      </c>
      <c r="G41">
        <f t="shared" si="29"/>
        <v>4.1815392022088532E-4</v>
      </c>
      <c r="H41">
        <f t="shared" si="30"/>
        <v>3.7542005966000736E-4</v>
      </c>
      <c r="I41">
        <f t="shared" si="31"/>
        <v>3.5010934629182755E-4</v>
      </c>
      <c r="J41">
        <f t="shared" si="32"/>
        <v>3.3241708538282207E-4</v>
      </c>
      <c r="K41">
        <f t="shared" si="33"/>
        <v>3.1896576599316532E-4</v>
      </c>
      <c r="L41">
        <f t="shared" si="34"/>
        <v>3.0819743305793507E-4</v>
      </c>
      <c r="M41">
        <f t="shared" si="35"/>
        <v>2.9926937222542627E-4</v>
      </c>
      <c r="N41">
        <f t="shared" si="36"/>
        <v>2.9167641068571302E-4</v>
      </c>
      <c r="O41">
        <f t="shared" si="37"/>
        <v>2.8509295299414771E-4</v>
      </c>
    </row>
    <row r="42" spans="4:15" x14ac:dyDescent="0.7">
      <c r="E42" s="5">
        <v>8</v>
      </c>
      <c r="F42">
        <f t="shared" si="28"/>
        <v>6.3120400153937638E-4</v>
      </c>
      <c r="G42">
        <f t="shared" si="29"/>
        <v>4.6398378010182857E-4</v>
      </c>
      <c r="H42">
        <f t="shared" si="30"/>
        <v>4.165662689831792E-4</v>
      </c>
      <c r="I42">
        <f t="shared" si="31"/>
        <v>3.8848148991560915E-4</v>
      </c>
      <c r="J42">
        <f t="shared" si="32"/>
        <v>3.6885014916249127E-4</v>
      </c>
      <c r="K42">
        <f t="shared" si="33"/>
        <v>3.539245590485139E-4</v>
      </c>
      <c r="L42">
        <f t="shared" si="34"/>
        <v>3.4197601192489967E-4</v>
      </c>
      <c r="M42">
        <f t="shared" si="35"/>
        <v>3.3206943156363373E-4</v>
      </c>
      <c r="N42">
        <f t="shared" si="36"/>
        <v>3.2364427798501109E-4</v>
      </c>
      <c r="O42">
        <f t="shared" si="37"/>
        <v>3.1633927033553316E-4</v>
      </c>
    </row>
    <row r="43" spans="4:15" x14ac:dyDescent="0.7">
      <c r="E43" s="5">
        <v>9</v>
      </c>
      <c r="F43">
        <f t="shared" si="28"/>
        <v>7.0038424725262806E-4</v>
      </c>
      <c r="G43">
        <f t="shared" si="29"/>
        <v>5.1483661347444048E-4</v>
      </c>
      <c r="H43">
        <f t="shared" si="30"/>
        <v>4.6222212156622256E-4</v>
      </c>
      <c r="I43">
        <f t="shared" si="31"/>
        <v>4.3105923793664328E-4</v>
      </c>
      <c r="J43">
        <f t="shared" si="32"/>
        <v>4.0927629330638041E-4</v>
      </c>
      <c r="K43">
        <f t="shared" si="33"/>
        <v>3.9271485172602788E-4</v>
      </c>
      <c r="L43">
        <f t="shared" si="34"/>
        <v>3.7945673840208516E-4</v>
      </c>
      <c r="M43">
        <f t="shared" si="35"/>
        <v>3.6846439232656695E-4</v>
      </c>
      <c r="N43">
        <f t="shared" si="36"/>
        <v>3.5911583808299408E-4</v>
      </c>
      <c r="O43">
        <f t="shared" si="37"/>
        <v>3.5101019827197069E-4</v>
      </c>
    </row>
    <row r="44" spans="4:15" x14ac:dyDescent="0.7">
      <c r="E44" s="5">
        <v>10</v>
      </c>
      <c r="F44">
        <f t="shared" si="28"/>
        <v>7.7714667936722387E-4</v>
      </c>
      <c r="G44">
        <f t="shared" si="29"/>
        <v>5.7126294051843723E-4</v>
      </c>
      <c r="H44">
        <f t="shared" si="30"/>
        <v>5.1288187636192603E-4</v>
      </c>
      <c r="I44">
        <f t="shared" si="31"/>
        <v>4.7830352651006386E-4</v>
      </c>
      <c r="J44">
        <f t="shared" si="32"/>
        <v>4.5413316123892343E-4</v>
      </c>
      <c r="K44">
        <f t="shared" si="33"/>
        <v>4.3575657812730572E-4</v>
      </c>
      <c r="L44">
        <f t="shared" si="34"/>
        <v>4.2104536955173686E-4</v>
      </c>
      <c r="M44">
        <f t="shared" si="35"/>
        <v>4.0884825734575263E-4</v>
      </c>
      <c r="N44">
        <f t="shared" si="36"/>
        <v>3.9847509730428032E-4</v>
      </c>
      <c r="O44">
        <f t="shared" si="37"/>
        <v>3.8948107568258792E-4</v>
      </c>
    </row>
    <row r="47" spans="4:15" x14ac:dyDescent="0.7">
      <c r="F47">
        <v>3.0479185746012683E-4</v>
      </c>
      <c r="G47">
        <v>2.2404559829107047E-4</v>
      </c>
      <c r="H47">
        <v>2.0114892581316675E-4</v>
      </c>
      <c r="I47">
        <v>1.8758752259410307E-4</v>
      </c>
      <c r="J47">
        <v>1.7810806302479896E-4</v>
      </c>
      <c r="K47">
        <v>1.7090088701920782E-4</v>
      </c>
      <c r="L47">
        <v>1.6513124699336099E-4</v>
      </c>
      <c r="M47">
        <v>1.6034761916143298E-4</v>
      </c>
      <c r="N47">
        <v>1.5627933346876828E-4</v>
      </c>
      <c r="O47">
        <v>1.5275193686669546E-4</v>
      </c>
    </row>
    <row r="48" spans="4:15" x14ac:dyDescent="0.7">
      <c r="F48">
        <v>3.3819718369232208E-4</v>
      </c>
      <c r="G48">
        <v>2.4860109778560566E-4</v>
      </c>
      <c r="H48">
        <v>2.2319493958807051E-4</v>
      </c>
      <c r="I48">
        <v>2.0814720040690396E-4</v>
      </c>
      <c r="J48">
        <v>1.9762878775645017E-4</v>
      </c>
      <c r="K48">
        <v>1.8963170198198947E-4</v>
      </c>
      <c r="L48">
        <v>1.832297067846109E-4</v>
      </c>
      <c r="M48">
        <v>1.7792179116615645E-4</v>
      </c>
      <c r="N48">
        <v>1.7340761951084956E-4</v>
      </c>
      <c r="O48">
        <v>1.6949361863652151E-4</v>
      </c>
    </row>
    <row r="49" spans="3:15" x14ac:dyDescent="0.7">
      <c r="F49">
        <v>3.7526374887616955E-4</v>
      </c>
      <c r="G49">
        <v>2.758478911954213E-4</v>
      </c>
      <c r="H49">
        <v>2.4765720650177903E-4</v>
      </c>
      <c r="I49">
        <v>2.3096022826090556E-4</v>
      </c>
      <c r="J49">
        <v>2.1928899279897236E-4</v>
      </c>
      <c r="K49">
        <v>2.1041542278563163E-4</v>
      </c>
      <c r="L49">
        <v>2.0331176600225307E-4</v>
      </c>
      <c r="M49">
        <v>1.9742210041736257E-4</v>
      </c>
      <c r="N49">
        <v>1.92413173495067E-4</v>
      </c>
      <c r="O49">
        <v>1.8807019634437249E-4</v>
      </c>
    </row>
    <row r="50" spans="3:15" x14ac:dyDescent="0.7">
      <c r="F50">
        <v>4.163928264663246E-4</v>
      </c>
      <c r="G50">
        <v>3.0608094555794355E-4</v>
      </c>
      <c r="H50">
        <v>2.7480054899749635E-4</v>
      </c>
      <c r="I50">
        <v>2.5627357434570766E-4</v>
      </c>
      <c r="J50">
        <v>2.4332316616771955E-4</v>
      </c>
      <c r="K50">
        <v>2.334770488441915E-4</v>
      </c>
      <c r="L50">
        <v>2.2559482804579043E-4</v>
      </c>
      <c r="M50">
        <v>2.1905965243349538E-4</v>
      </c>
      <c r="N50">
        <v>2.1350174484187709E-4</v>
      </c>
      <c r="O50">
        <v>2.0868277541977848E-4</v>
      </c>
    </row>
    <row r="51" spans="3:15" x14ac:dyDescent="0.7">
      <c r="F51">
        <v>4.6202966967061896E-4</v>
      </c>
      <c r="G51">
        <v>3.396275564320858E-4</v>
      </c>
      <c r="H51">
        <v>3.0491881417867391E-4</v>
      </c>
      <c r="I51">
        <v>2.8436127467683934E-4</v>
      </c>
      <c r="J51">
        <v>2.699914958712016E-4</v>
      </c>
      <c r="K51">
        <v>2.5906623960986251E-4</v>
      </c>
      <c r="L51">
        <v>2.5032012382621187E-4</v>
      </c>
      <c r="M51">
        <v>2.430686899938556E-4</v>
      </c>
      <c r="N51">
        <v>2.3690163320181772E-4</v>
      </c>
      <c r="O51">
        <v>2.3155450253883241E-4</v>
      </c>
    </row>
    <row r="52" spans="3:15" x14ac:dyDescent="0.7">
      <c r="F52">
        <v>5.1266833165101511E-4</v>
      </c>
      <c r="G52">
        <v>3.7685089111891008E-4</v>
      </c>
      <c r="H52">
        <v>3.3833805492497639E-4</v>
      </c>
      <c r="I52">
        <v>3.15527399741796E-4</v>
      </c>
      <c r="J52">
        <v>2.9958268664202363E-4</v>
      </c>
      <c r="K52">
        <v>2.8746001732437313E-4</v>
      </c>
      <c r="L52">
        <v>2.7775532327208935E-4</v>
      </c>
      <c r="M52">
        <v>2.6970912899291691E-4</v>
      </c>
      <c r="N52">
        <v>2.628661599709815E-4</v>
      </c>
      <c r="O52">
        <v>2.5693298135483992E-4</v>
      </c>
    </row>
    <row r="53" spans="3:15" x14ac:dyDescent="0.7">
      <c r="F53">
        <v>5.6885701402077909E-4</v>
      </c>
      <c r="G53">
        <v>4.1815392022088532E-4</v>
      </c>
      <c r="H53">
        <v>3.7542005966000736E-4</v>
      </c>
      <c r="I53">
        <v>3.5010934629182755E-4</v>
      </c>
      <c r="J53">
        <v>3.3241708538282207E-4</v>
      </c>
      <c r="K53">
        <v>3.1896576599316532E-4</v>
      </c>
      <c r="L53">
        <v>3.0819743305793507E-4</v>
      </c>
      <c r="M53">
        <v>2.9926937222542627E-4</v>
      </c>
      <c r="N53">
        <v>2.9167641068571302E-4</v>
      </c>
      <c r="O53">
        <v>2.8509295299414771E-4</v>
      </c>
    </row>
    <row r="54" spans="3:15" x14ac:dyDescent="0.7">
      <c r="F54">
        <v>6.3120400153937638E-4</v>
      </c>
      <c r="G54">
        <v>4.6398378010182857E-4</v>
      </c>
      <c r="H54">
        <v>4.165662689831792E-4</v>
      </c>
      <c r="I54">
        <v>3.8848148991560915E-4</v>
      </c>
      <c r="J54">
        <v>3.6885014916249127E-4</v>
      </c>
      <c r="K54">
        <v>3.539245590485139E-4</v>
      </c>
      <c r="L54">
        <v>3.4197601192489967E-4</v>
      </c>
      <c r="M54">
        <v>3.3206943156363373E-4</v>
      </c>
      <c r="N54">
        <v>3.2364427798501109E-4</v>
      </c>
      <c r="O54">
        <v>3.1633927033553316E-4</v>
      </c>
    </row>
    <row r="55" spans="3:15" x14ac:dyDescent="0.7">
      <c r="F55">
        <v>7.0038424725262806E-4</v>
      </c>
      <c r="G55">
        <v>5.1483661347444048E-4</v>
      </c>
      <c r="H55">
        <v>4.6222212156622256E-4</v>
      </c>
      <c r="I55">
        <v>4.3105923793664328E-4</v>
      </c>
      <c r="J55">
        <v>4.0927629330638041E-4</v>
      </c>
      <c r="K55">
        <v>3.9271485172602788E-4</v>
      </c>
      <c r="L55">
        <v>3.7945673840208516E-4</v>
      </c>
      <c r="M55">
        <v>3.6846439232656695E-4</v>
      </c>
      <c r="N55">
        <v>3.5911583808299408E-4</v>
      </c>
      <c r="O55">
        <v>3.5101019827197069E-4</v>
      </c>
    </row>
    <row r="56" spans="3:15" x14ac:dyDescent="0.7">
      <c r="F56">
        <v>7.7714667936722387E-4</v>
      </c>
      <c r="G56">
        <v>5.7126294051843723E-4</v>
      </c>
      <c r="H56">
        <v>5.1288187636192603E-4</v>
      </c>
      <c r="I56">
        <v>4.7830352651006386E-4</v>
      </c>
      <c r="J56">
        <v>4.5413316123892343E-4</v>
      </c>
      <c r="K56">
        <v>4.3575657812730572E-4</v>
      </c>
      <c r="L56">
        <v>4.2104536955173686E-4</v>
      </c>
      <c r="M56">
        <v>4.0884825734575263E-4</v>
      </c>
      <c r="N56">
        <v>3.9847509730428032E-4</v>
      </c>
      <c r="O56">
        <v>3.8948107568258792E-4</v>
      </c>
    </row>
    <row r="59" spans="3:15" x14ac:dyDescent="0.7">
      <c r="F59" s="1">
        <v>3.0479185746012683E-4</v>
      </c>
      <c r="G59" s="1">
        <v>3.3819718369232208E-4</v>
      </c>
      <c r="H59" s="1">
        <v>3.7526374887616955E-4</v>
      </c>
      <c r="I59" s="1">
        <v>4.163928264663246E-4</v>
      </c>
      <c r="J59" s="1">
        <v>4.6202966967061896E-4</v>
      </c>
      <c r="K59" s="1">
        <v>5.1266833165101511E-4</v>
      </c>
      <c r="L59" s="1">
        <v>5.6885701402077909E-4</v>
      </c>
      <c r="M59" s="1">
        <v>6.3120400153937638E-4</v>
      </c>
      <c r="N59" s="1">
        <v>7.0038424725262806E-4</v>
      </c>
      <c r="O59" s="1">
        <v>7.7714667936722387E-4</v>
      </c>
    </row>
    <row r="60" spans="3:15" x14ac:dyDescent="0.7">
      <c r="C60" t="s">
        <v>6</v>
      </c>
      <c r="F60" s="1">
        <v>2.2404559829107047E-4</v>
      </c>
      <c r="G60" s="1">
        <v>2.4860109778560566E-4</v>
      </c>
      <c r="H60" s="1">
        <v>2.758478911954213E-4</v>
      </c>
      <c r="I60" s="1">
        <v>3.0608094555794355E-4</v>
      </c>
      <c r="J60" s="1">
        <v>3.396275564320858E-4</v>
      </c>
      <c r="K60" s="1">
        <v>3.7685089111891008E-4</v>
      </c>
      <c r="L60" s="1">
        <v>4.1815392022088532E-4</v>
      </c>
      <c r="M60" s="1">
        <v>4.6398378010182857E-4</v>
      </c>
      <c r="N60" s="1">
        <v>5.1483661347444048E-4</v>
      </c>
      <c r="O60" s="1">
        <v>5.7126294051843723E-4</v>
      </c>
    </row>
    <row r="61" spans="3:15" x14ac:dyDescent="0.7">
      <c r="F61" s="1">
        <v>2.0114892581316675E-4</v>
      </c>
      <c r="G61" s="1">
        <v>2.2319493958807051E-4</v>
      </c>
      <c r="H61" s="1">
        <v>2.4765720650177903E-4</v>
      </c>
      <c r="I61" s="1">
        <v>2.7480054899749635E-4</v>
      </c>
      <c r="J61" s="1">
        <v>3.0491881417867391E-4</v>
      </c>
      <c r="K61" s="1">
        <v>3.3833805492497639E-4</v>
      </c>
      <c r="L61" s="1">
        <v>3.7542005966000736E-4</v>
      </c>
      <c r="M61" s="1">
        <v>4.165662689831792E-4</v>
      </c>
      <c r="N61" s="1">
        <v>4.6222212156622256E-4</v>
      </c>
      <c r="O61" s="1">
        <v>5.1288187636192603E-4</v>
      </c>
    </row>
    <row r="62" spans="3:15" x14ac:dyDescent="0.7">
      <c r="F62" s="1">
        <v>1.8758752259410307E-4</v>
      </c>
      <c r="G62" s="1">
        <v>2.0814720040690396E-4</v>
      </c>
      <c r="H62" s="1">
        <v>2.3096022826090556E-4</v>
      </c>
      <c r="I62" s="1">
        <v>2.5627357434570766E-4</v>
      </c>
      <c r="J62" s="1">
        <v>2.8436127467683934E-4</v>
      </c>
      <c r="K62" s="1">
        <v>3.15527399741796E-4</v>
      </c>
      <c r="L62" s="1">
        <v>3.5010934629182755E-4</v>
      </c>
      <c r="M62" s="1">
        <v>3.8848148991560915E-4</v>
      </c>
      <c r="N62" s="1">
        <v>4.3105923793664328E-4</v>
      </c>
      <c r="O62" s="1">
        <v>4.7830352651006386E-4</v>
      </c>
    </row>
    <row r="63" spans="3:15" x14ac:dyDescent="0.7">
      <c r="F63" s="1">
        <v>1.7810806302479896E-4</v>
      </c>
      <c r="G63" s="1">
        <v>1.9762878775645017E-4</v>
      </c>
      <c r="H63" s="1">
        <v>2.1928899279897236E-4</v>
      </c>
      <c r="I63" s="1">
        <v>2.4332316616771955E-4</v>
      </c>
      <c r="J63" s="1">
        <v>2.699914958712016E-4</v>
      </c>
      <c r="K63" s="1">
        <v>2.9958268664202363E-4</v>
      </c>
      <c r="L63" s="1">
        <v>3.3241708538282207E-4</v>
      </c>
      <c r="M63" s="1">
        <v>3.6885014916249127E-4</v>
      </c>
      <c r="N63" s="1">
        <v>4.0927629330638041E-4</v>
      </c>
      <c r="O63" s="1">
        <v>4.5413316123892343E-4</v>
      </c>
    </row>
    <row r="64" spans="3:15" x14ac:dyDescent="0.7">
      <c r="F64" s="1">
        <v>1.7090088701920782E-4</v>
      </c>
      <c r="G64" s="1">
        <v>1.8963170198198947E-4</v>
      </c>
      <c r="H64" s="1">
        <v>2.1041542278563163E-4</v>
      </c>
      <c r="I64" s="1">
        <v>2.334770488441915E-4</v>
      </c>
      <c r="J64" s="1">
        <v>2.5906623960986251E-4</v>
      </c>
      <c r="K64" s="1">
        <v>2.8746001732437313E-4</v>
      </c>
      <c r="L64" s="1">
        <v>3.1896576599316532E-4</v>
      </c>
      <c r="M64" s="1">
        <v>3.539245590485139E-4</v>
      </c>
      <c r="N64" s="1">
        <v>3.9271485172602788E-4</v>
      </c>
      <c r="O64" s="1">
        <v>4.3575657812730572E-4</v>
      </c>
    </row>
    <row r="65" spans="6:15" x14ac:dyDescent="0.7">
      <c r="F65" s="1">
        <v>1.6513124699336099E-4</v>
      </c>
      <c r="G65" s="1">
        <v>1.832297067846109E-4</v>
      </c>
      <c r="H65" s="1">
        <v>2.0331176600225307E-4</v>
      </c>
      <c r="I65" s="1">
        <v>2.2559482804579043E-4</v>
      </c>
      <c r="J65" s="1">
        <v>2.5032012382621187E-4</v>
      </c>
      <c r="K65" s="1">
        <v>2.7775532327208935E-4</v>
      </c>
      <c r="L65" s="1">
        <v>3.0819743305793507E-4</v>
      </c>
      <c r="M65" s="1">
        <v>3.4197601192489967E-4</v>
      </c>
      <c r="N65" s="1">
        <v>3.7945673840208516E-4</v>
      </c>
      <c r="O65" s="1">
        <v>4.2104536955173686E-4</v>
      </c>
    </row>
    <row r="66" spans="6:15" x14ac:dyDescent="0.7">
      <c r="F66" s="1">
        <v>1.6034761916143298E-4</v>
      </c>
      <c r="G66" s="1">
        <v>1.7792179116615645E-4</v>
      </c>
      <c r="H66" s="1">
        <v>1.9742210041736257E-4</v>
      </c>
      <c r="I66" s="1">
        <v>2.1905965243349538E-4</v>
      </c>
      <c r="J66" s="1">
        <v>2.430686899938556E-4</v>
      </c>
      <c r="K66" s="1">
        <v>2.6970912899291691E-4</v>
      </c>
      <c r="L66" s="1">
        <v>2.9926937222542627E-4</v>
      </c>
      <c r="M66" s="1">
        <v>3.3206943156363373E-4</v>
      </c>
      <c r="N66" s="1">
        <v>3.6846439232656695E-4</v>
      </c>
      <c r="O66" s="1">
        <v>4.0884825734575263E-4</v>
      </c>
    </row>
    <row r="67" spans="6:15" x14ac:dyDescent="0.7">
      <c r="F67" s="1">
        <v>1.5627933346876828E-4</v>
      </c>
      <c r="G67" s="1">
        <v>1.7340761951084956E-4</v>
      </c>
      <c r="H67" s="1">
        <v>1.92413173495067E-4</v>
      </c>
      <c r="I67" s="1">
        <v>2.1350174484187709E-4</v>
      </c>
      <c r="J67" s="1">
        <v>2.3690163320181772E-4</v>
      </c>
      <c r="K67" s="1">
        <v>2.628661599709815E-4</v>
      </c>
      <c r="L67" s="1">
        <v>2.9167641068571302E-4</v>
      </c>
      <c r="M67" s="1">
        <v>3.2364427798501109E-4</v>
      </c>
      <c r="N67" s="1">
        <v>3.5911583808299408E-4</v>
      </c>
      <c r="O67" s="1">
        <v>3.9847509730428032E-4</v>
      </c>
    </row>
    <row r="68" spans="6:15" x14ac:dyDescent="0.7">
      <c r="F68" s="1">
        <v>1.5275193686669546E-4</v>
      </c>
      <c r="G68" s="1">
        <v>1.6949361863652151E-4</v>
      </c>
      <c r="H68" s="1">
        <v>1.8807019634437249E-4</v>
      </c>
      <c r="I68" s="1">
        <v>2.0868277541977848E-4</v>
      </c>
      <c r="J68" s="1">
        <v>2.3155450253883241E-4</v>
      </c>
      <c r="K68" s="1">
        <v>2.5693298135483992E-4</v>
      </c>
      <c r="L68" s="1">
        <v>2.8509295299414771E-4</v>
      </c>
      <c r="M68" s="1">
        <v>3.1633927033553316E-4</v>
      </c>
      <c r="N68" s="1">
        <v>3.5101019827197069E-4</v>
      </c>
      <c r="O68" s="1">
        <v>3.8948107568258792E-4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E4E3-FCE4-4E3E-9585-217AF2931FA5}">
  <dimension ref="A1:C11"/>
  <sheetViews>
    <sheetView tabSelected="1" workbookViewId="0">
      <selection activeCell="C2" sqref="C2:C11"/>
    </sheetView>
  </sheetViews>
  <sheetFormatPr defaultRowHeight="17.649999999999999" x14ac:dyDescent="0.7"/>
  <sheetData>
    <row r="1" spans="1:3" x14ac:dyDescent="0.7">
      <c r="A1">
        <v>4.6202966967061896E-4</v>
      </c>
      <c r="B1" t="s">
        <v>7</v>
      </c>
    </row>
    <row r="2" spans="1:3" x14ac:dyDescent="0.7">
      <c r="A2">
        <v>3.396275564320858E-4</v>
      </c>
      <c r="B2">
        <v>4.6202966967061896E-4</v>
      </c>
      <c r="C2">
        <v>4.6202966967061896E-4</v>
      </c>
    </row>
    <row r="3" spans="1:3" x14ac:dyDescent="0.7">
      <c r="A3">
        <v>3.0491881417867391E-4</v>
      </c>
      <c r="B3">
        <v>3.396275564320858E-4</v>
      </c>
      <c r="C3">
        <v>3.396275564320858E-4</v>
      </c>
    </row>
    <row r="4" spans="1:3" x14ac:dyDescent="0.7">
      <c r="A4">
        <v>2.8436127467683934E-4</v>
      </c>
      <c r="B4">
        <v>3.0491881417867391E-4</v>
      </c>
      <c r="C4">
        <v>3.0491881417867391E-4</v>
      </c>
    </row>
    <row r="5" spans="1:3" x14ac:dyDescent="0.7">
      <c r="A5">
        <v>2.699914958712016E-4</v>
      </c>
      <c r="B5">
        <v>2.8436127467683934E-4</v>
      </c>
      <c r="C5">
        <v>2.8436127467683934E-4</v>
      </c>
    </row>
    <row r="6" spans="1:3" x14ac:dyDescent="0.7">
      <c r="A6">
        <v>2.5906623960986251E-4</v>
      </c>
      <c r="B6">
        <v>2.699914958712016E-4</v>
      </c>
      <c r="C6">
        <v>2.699914958712016E-4</v>
      </c>
    </row>
    <row r="7" spans="1:3" x14ac:dyDescent="0.7">
      <c r="A7">
        <v>2.5032012382621187E-4</v>
      </c>
      <c r="B7">
        <v>2.5906623960986251E-4</v>
      </c>
      <c r="C7">
        <v>2.5906623960986251E-4</v>
      </c>
    </row>
    <row r="8" spans="1:3" x14ac:dyDescent="0.7">
      <c r="A8">
        <v>2.430686899938556E-4</v>
      </c>
      <c r="B8">
        <v>2.5032012382621187E-4</v>
      </c>
      <c r="C8">
        <v>2.5032012382621187E-4</v>
      </c>
    </row>
    <row r="9" spans="1:3" x14ac:dyDescent="0.7">
      <c r="A9">
        <v>2.3690163320181772E-4</v>
      </c>
      <c r="B9">
        <v>2.430686899938556E-4</v>
      </c>
      <c r="C9">
        <v>2.430686899938556E-4</v>
      </c>
    </row>
    <row r="10" spans="1:3" x14ac:dyDescent="0.7">
      <c r="A10">
        <v>2.3155450253883241E-4</v>
      </c>
      <c r="B10">
        <v>2.3690163320181772E-4</v>
      </c>
      <c r="C10">
        <v>2.3690163320181772E-4</v>
      </c>
    </row>
    <row r="11" spans="1:3" x14ac:dyDescent="0.7">
      <c r="B11">
        <v>2.3155450253883241E-4</v>
      </c>
      <c r="C11">
        <v>2.3155450253883241E-4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69B06-0DD9-4B93-81DC-47CCD840DB6A}">
  <dimension ref="A1"/>
  <sheetViews>
    <sheetView workbookViewId="0"/>
  </sheetViews>
  <sheetFormatPr defaultRowHeight="17.649999999999999" x14ac:dyDescent="0.7"/>
  <sheetData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B82B-3BFC-4FDC-BE2B-BED15997BD38}">
  <dimension ref="A1:D12"/>
  <sheetViews>
    <sheetView workbookViewId="0"/>
  </sheetViews>
  <sheetFormatPr defaultRowHeight="17.649999999999999" x14ac:dyDescent="0.7"/>
  <sheetData>
    <row r="1" spans="1:4" x14ac:dyDescent="0.7">
      <c r="A1">
        <v>0</v>
      </c>
      <c r="B1">
        <v>7.153611274364637E-5</v>
      </c>
      <c r="C1">
        <v>1.2412069066717059E-4</v>
      </c>
      <c r="D1">
        <v>1.7133130959624251E-4</v>
      </c>
    </row>
    <row r="2" spans="1:4" x14ac:dyDescent="0.7">
      <c r="A2">
        <v>0</v>
      </c>
      <c r="B2">
        <v>8.8921934479910511E-5</v>
      </c>
      <c r="C2">
        <v>1.5428643659544749E-4</v>
      </c>
      <c r="D2">
        <v>2.1297091639393663E-4</v>
      </c>
    </row>
    <row r="3" spans="1:4" x14ac:dyDescent="0.7">
      <c r="A3">
        <v>0</v>
      </c>
      <c r="B3">
        <v>1.257663110629895E-4</v>
      </c>
      <c r="C3">
        <v>2.1821428077508899E-4</v>
      </c>
      <c r="D3">
        <v>3.0121439299795054E-4</v>
      </c>
    </row>
    <row r="4" spans="1:4" x14ac:dyDescent="0.7">
      <c r="A4">
        <v>0</v>
      </c>
      <c r="B4">
        <v>1.7787697817084807E-4</v>
      </c>
      <c r="C4">
        <v>3.0863032023382915E-4</v>
      </c>
      <c r="D4">
        <v>4.2602113042185702E-4</v>
      </c>
    </row>
    <row r="9" spans="1:4" x14ac:dyDescent="0.7">
      <c r="A9">
        <v>0</v>
      </c>
      <c r="B9">
        <v>7.153611274364637E-5</v>
      </c>
      <c r="C9">
        <v>1.2412069066717059E-4</v>
      </c>
      <c r="D9">
        <v>1.7133130959624251E-4</v>
      </c>
    </row>
    <row r="10" spans="1:4" x14ac:dyDescent="0.7">
      <c r="A10">
        <v>0</v>
      </c>
      <c r="B10">
        <v>8.8921934479910511E-5</v>
      </c>
      <c r="C10">
        <v>1.5428643659544749E-4</v>
      </c>
      <c r="D10">
        <v>2.1297091639393663E-4</v>
      </c>
    </row>
    <row r="11" spans="1:4" x14ac:dyDescent="0.7">
      <c r="A11">
        <v>0</v>
      </c>
      <c r="B11">
        <v>1.257663110629895E-4</v>
      </c>
      <c r="C11">
        <v>2.1821428077508899E-4</v>
      </c>
      <c r="D11">
        <v>3.0121439299795054E-4</v>
      </c>
    </row>
    <row r="12" spans="1:4" x14ac:dyDescent="0.7">
      <c r="A12">
        <v>0</v>
      </c>
      <c r="B12">
        <v>1.7787697817084807E-4</v>
      </c>
      <c r="C12">
        <v>3.0863032023382915E-4</v>
      </c>
      <c r="D12">
        <v>4.2602113042185702E-4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C5D2-D5D2-4B7E-91C2-51DB742A0A5C}">
  <dimension ref="A1:D4"/>
  <sheetViews>
    <sheetView workbookViewId="0">
      <selection activeCell="B2" sqref="B2"/>
    </sheetView>
  </sheetViews>
  <sheetFormatPr defaultRowHeight="17.649999999999999" x14ac:dyDescent="0.7"/>
  <sheetData>
    <row r="1" spans="1:4" x14ac:dyDescent="0.7">
      <c r="A1" s="1">
        <v>0</v>
      </c>
      <c r="B1" s="1">
        <v>0</v>
      </c>
      <c r="C1" s="1">
        <v>0</v>
      </c>
      <c r="D1" s="1">
        <v>0</v>
      </c>
    </row>
    <row r="2" spans="1:4" x14ac:dyDescent="0.7">
      <c r="A2" s="1">
        <v>2.1460833823093911E-4</v>
      </c>
      <c r="B2" s="1">
        <v>3.0353027271084966E-4</v>
      </c>
      <c r="C2" s="1">
        <v>4.2929658377383913E-4</v>
      </c>
      <c r="D2" s="1">
        <v>6.071735619446872E-4</v>
      </c>
    </row>
    <row r="3" spans="1:4" x14ac:dyDescent="0.7">
      <c r="A3" s="1">
        <v>1.5775373377057266E-4</v>
      </c>
      <c r="B3" s="1">
        <v>2.2311823588610965E-4</v>
      </c>
      <c r="C3" s="1">
        <v>3.1556620559820917E-4</v>
      </c>
      <c r="D3" s="1">
        <v>4.4631954766119025E-4</v>
      </c>
    </row>
    <row r="4" spans="1:4" x14ac:dyDescent="0.7">
      <c r="A4" s="1">
        <v>1.4163185678721577E-4</v>
      </c>
      <c r="B4" s="1">
        <v>2.0031633658570492E-4</v>
      </c>
      <c r="C4" s="1">
        <v>2.8331644880856647E-4</v>
      </c>
      <c r="D4" s="1">
        <v>4.0070725899659434E-4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6EC9-F60A-45DB-8507-057CBC2AE98A}">
  <dimension ref="A1:J10"/>
  <sheetViews>
    <sheetView workbookViewId="0">
      <selection activeCell="A11" sqref="A11"/>
    </sheetView>
  </sheetViews>
  <sheetFormatPr defaultRowHeight="17.649999999999999" x14ac:dyDescent="0.7"/>
  <cols>
    <col min="1" max="1" width="12.625" bestFit="1" customWidth="1"/>
    <col min="2" max="2" width="12.6875" bestFit="1" customWidth="1"/>
    <col min="3" max="10" width="9.0625" bestFit="1" customWidth="1"/>
  </cols>
  <sheetData>
    <row r="1" spans="1:10" x14ac:dyDescent="0.7">
      <c r="A1" s="1">
        <v>3.0105725069062554E-5</v>
      </c>
      <c r="B1" s="1">
        <v>5.2235762404351298E-5</v>
      </c>
      <c r="C1" s="1">
        <v>7.2104187725590904E-5</v>
      </c>
      <c r="D1" s="1">
        <v>9.0633089477316464E-5</v>
      </c>
      <c r="E1" s="1">
        <v>1.0822566042947634E-4</v>
      </c>
      <c r="F1" s="1">
        <v>1.2510634471525083E-4</v>
      </c>
      <c r="G1" s="1">
        <v>1.4141713452348563E-4</v>
      </c>
      <c r="H1" s="1">
        <v>1.5725542291537402E-4</v>
      </c>
      <c r="I1" s="1">
        <v>1.7269186759796389E-4</v>
      </c>
      <c r="J1" s="1">
        <v>1.8777989473030678E-4</v>
      </c>
    </row>
    <row r="2" spans="1:10" x14ac:dyDescent="0.7">
      <c r="A2" s="1">
        <v>3.340532623219528E-5</v>
      </c>
      <c r="B2" s="1">
        <v>5.7960825726730475E-5</v>
      </c>
      <c r="C2" s="1">
        <v>8.0006839501634231E-5</v>
      </c>
      <c r="D2" s="1">
        <v>1.0056651731443512E-4</v>
      </c>
      <c r="E2" s="1">
        <v>1.2008724204608633E-4</v>
      </c>
      <c r="F2" s="1">
        <v>1.3881805700886797E-4</v>
      </c>
      <c r="G2" s="1">
        <v>1.5691651680011789E-4</v>
      </c>
      <c r="H2" s="1">
        <v>1.7449068880484136E-4</v>
      </c>
      <c r="I2" s="1">
        <v>1.9161897484692265E-4</v>
      </c>
      <c r="J2" s="1">
        <v>2.083606566167487E-4</v>
      </c>
    </row>
    <row r="3" spans="1:10" x14ac:dyDescent="0.7">
      <c r="A3" s="1">
        <v>3.7066565183847423E-5</v>
      </c>
      <c r="B3" s="1">
        <v>6.4313358593663056E-5</v>
      </c>
      <c r="C3" s="1">
        <v>8.8775625507371569E-5</v>
      </c>
      <c r="D3" s="1">
        <v>1.1158865336137317E-4</v>
      </c>
      <c r="E3" s="1">
        <v>1.3324885840389536E-4</v>
      </c>
      <c r="F3" s="1">
        <v>1.5403257920753753E-4</v>
      </c>
      <c r="G3" s="1">
        <v>1.741146384251797E-4</v>
      </c>
      <c r="H3" s="1">
        <v>1.9361494767638582E-4</v>
      </c>
      <c r="I3" s="1">
        <v>2.1262050166060326E-4</v>
      </c>
      <c r="J3" s="1">
        <v>2.3119707936845423E-4</v>
      </c>
    </row>
    <row r="4" spans="1:10" x14ac:dyDescent="0.7">
      <c r="A4" s="1">
        <v>4.1129077590155091E-5</v>
      </c>
      <c r="B4" s="1">
        <v>7.1362131952677353E-5</v>
      </c>
      <c r="C4" s="1">
        <v>9.8505474448394695E-5</v>
      </c>
      <c r="D4" s="1">
        <v>1.2381882053319682E-4</v>
      </c>
      <c r="E4" s="1">
        <v>1.47852993901944E-4</v>
      </c>
      <c r="F4" s="1">
        <v>1.7091461996050387E-4</v>
      </c>
      <c r="G4" s="1">
        <v>1.9319768200404123E-4</v>
      </c>
      <c r="H4" s="1">
        <v>2.1483523402017403E-4</v>
      </c>
      <c r="I4" s="1">
        <v>2.3592380536698412E-4</v>
      </c>
      <c r="J4" s="1">
        <v>2.5653638444239011E-4</v>
      </c>
    </row>
    <row r="5" spans="1:10" x14ac:dyDescent="0.7">
      <c r="A5" s="1">
        <v>4.5636843204294346E-5</v>
      </c>
      <c r="B5" s="1">
        <v>7.9183454078436585E-5</v>
      </c>
      <c r="C5" s="1">
        <v>1.0930171925961415E-4</v>
      </c>
      <c r="D5" s="1">
        <v>1.373894195907458E-4</v>
      </c>
      <c r="E5" s="1">
        <v>1.6405774929422785E-4</v>
      </c>
      <c r="F5" s="1">
        <v>1.8964694005989887E-4</v>
      </c>
      <c r="G5" s="1">
        <v>2.1437223584032031E-4</v>
      </c>
      <c r="H5" s="1">
        <v>2.3838127340068053E-4</v>
      </c>
      <c r="I5" s="1">
        <v>2.6178116176062117E-4</v>
      </c>
      <c r="J5" s="1">
        <v>2.8465288887967509E-4</v>
      </c>
    </row>
    <row r="6" spans="1:10" x14ac:dyDescent="0.7">
      <c r="A6" s="1">
        <v>5.0638661980396144E-5</v>
      </c>
      <c r="B6" s="1">
        <v>8.7861996667220466E-5</v>
      </c>
      <c r="C6" s="1">
        <v>1.2128123741352292E-4</v>
      </c>
      <c r="D6" s="1">
        <v>1.5244736247847958E-4</v>
      </c>
      <c r="E6" s="1">
        <v>1.820385532493016E-4</v>
      </c>
      <c r="F6" s="1">
        <v>2.1043233096381222E-4</v>
      </c>
      <c r="G6" s="1">
        <v>2.378675304096897E-4</v>
      </c>
      <c r="H6" s="1">
        <v>2.6450796940875101E-4</v>
      </c>
      <c r="I6" s="1">
        <v>2.9047249617791479E-4</v>
      </c>
      <c r="J6" s="1">
        <v>3.158509749939223E-4</v>
      </c>
    </row>
    <row r="7" spans="1:10" x14ac:dyDescent="0.7">
      <c r="A7" s="1">
        <v>5.6188682369764004E-5</v>
      </c>
      <c r="B7" s="1">
        <v>9.7491711471739249E-5</v>
      </c>
      <c r="C7" s="1">
        <v>1.3457371620677024E-4</v>
      </c>
      <c r="D7" s="1">
        <v>1.6915566275680179E-4</v>
      </c>
      <c r="E7" s="1">
        <v>2.0199006149760023E-4</v>
      </c>
      <c r="F7" s="1">
        <v>2.3349581016639243E-4</v>
      </c>
      <c r="G7" s="1">
        <v>2.6393791995223814E-4</v>
      </c>
      <c r="H7" s="1">
        <v>2.9349816318474751E-4</v>
      </c>
      <c r="I7" s="1">
        <v>3.2230841389947903E-4</v>
      </c>
      <c r="J7" s="1">
        <v>3.5046838553878681E-4</v>
      </c>
    </row>
    <row r="8" spans="1:10" x14ac:dyDescent="0.7">
      <c r="A8" s="1">
        <v>6.2346987518597334E-5</v>
      </c>
      <c r="B8" s="1">
        <v>1.0817684739954057E-4</v>
      </c>
      <c r="C8" s="1">
        <v>1.4932305672271239E-4</v>
      </c>
      <c r="D8" s="1">
        <v>1.8769520034649399E-4</v>
      </c>
      <c r="E8" s="1">
        <v>2.2412826412616319E-4</v>
      </c>
      <c r="F8" s="1">
        <v>2.5908705718151177E-4</v>
      </c>
      <c r="G8" s="1">
        <v>2.9286563604847638E-4</v>
      </c>
      <c r="H8" s="1">
        <v>3.2566569538668383E-4</v>
      </c>
      <c r="I8" s="1">
        <v>3.576335626859819E-4</v>
      </c>
      <c r="J8" s="1">
        <v>3.8887988002736735E-4</v>
      </c>
    </row>
    <row r="9" spans="1:10" x14ac:dyDescent="0.7">
      <c r="A9" s="1">
        <v>6.9180245713251624E-5</v>
      </c>
      <c r="B9" s="1">
        <v>1.200330790858635E-4</v>
      </c>
      <c r="C9" s="1">
        <v>1.6568893166890689E-4</v>
      </c>
      <c r="D9" s="1">
        <v>2.0826667968994102E-4</v>
      </c>
      <c r="E9" s="1">
        <v>2.4869282383383016E-4</v>
      </c>
      <c r="F9" s="1">
        <v>2.8748311651134414E-4</v>
      </c>
      <c r="G9" s="1">
        <v>3.2496384298852962E-4</v>
      </c>
      <c r="H9" s="1">
        <v>3.6135880375146284E-4</v>
      </c>
      <c r="I9" s="1">
        <v>3.9683036384944583E-4</v>
      </c>
      <c r="J9" s="1">
        <v>4.3150129178588337E-4</v>
      </c>
    </row>
    <row r="10" spans="1:10" x14ac:dyDescent="0.7">
      <c r="A10" s="1">
        <v>7.6762432114595836E-5</v>
      </c>
      <c r="B10" s="1">
        <v>1.3318875915859264E-4</v>
      </c>
      <c r="C10" s="1">
        <v>1.8384851395429613E-4</v>
      </c>
      <c r="D10" s="1">
        <v>2.3109280252771671E-4</v>
      </c>
      <c r="E10" s="1">
        <v>2.7594967046025974E-4</v>
      </c>
      <c r="F10" s="1">
        <v>3.1899139686153758E-4</v>
      </c>
      <c r="G10" s="1">
        <v>3.6058002801118928E-4</v>
      </c>
      <c r="H10" s="1">
        <v>4.0096389303037497E-4</v>
      </c>
      <c r="I10" s="1">
        <v>4.4032315225166121E-4</v>
      </c>
      <c r="J10" s="1">
        <v>4.7879402966227844E-4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D917-E4F9-49AD-9B75-A91508911E46}">
  <dimension ref="A1:J10"/>
  <sheetViews>
    <sheetView workbookViewId="0">
      <selection sqref="A1:J10"/>
    </sheetView>
  </sheetViews>
  <sheetFormatPr defaultRowHeight="17.649999999999999" x14ac:dyDescent="0.7"/>
  <sheetData>
    <row r="1" spans="1:10" x14ac:dyDescent="0.7">
      <c r="A1" s="1">
        <v>3.0479185746012683E-4</v>
      </c>
      <c r="B1" s="1">
        <v>3.3819718369232208E-4</v>
      </c>
      <c r="C1" s="1">
        <v>3.7526374887616955E-4</v>
      </c>
      <c r="D1" s="1">
        <v>4.163928264663246E-4</v>
      </c>
      <c r="E1" s="1">
        <v>4.6202966967061896E-4</v>
      </c>
      <c r="F1" s="1">
        <v>5.1266833165101511E-4</v>
      </c>
      <c r="G1" s="1">
        <v>5.6885701402077909E-4</v>
      </c>
      <c r="H1" s="1">
        <v>6.3120400153937638E-4</v>
      </c>
      <c r="I1" s="1">
        <v>7.0038424725262806E-4</v>
      </c>
      <c r="J1" s="1">
        <v>7.7714667936722387E-4</v>
      </c>
    </row>
    <row r="2" spans="1:10" x14ac:dyDescent="0.7">
      <c r="A2" s="1">
        <v>2.2404559829107047E-4</v>
      </c>
      <c r="B2" s="1">
        <v>2.4860109778560566E-4</v>
      </c>
      <c r="C2" s="1">
        <v>2.758478911954213E-4</v>
      </c>
      <c r="D2" s="1">
        <v>3.0608094555794355E-4</v>
      </c>
      <c r="E2" s="1">
        <v>3.396275564320858E-4</v>
      </c>
      <c r="F2" s="1">
        <v>3.7685089111891008E-4</v>
      </c>
      <c r="G2" s="1">
        <v>4.1815392022088532E-4</v>
      </c>
      <c r="H2" s="1">
        <v>4.6398378010182857E-4</v>
      </c>
      <c r="I2" s="1">
        <v>5.1483661347444048E-4</v>
      </c>
      <c r="J2" s="1">
        <v>5.7126294051843723E-4</v>
      </c>
    </row>
    <row r="3" spans="1:10" x14ac:dyDescent="0.7">
      <c r="A3" s="1">
        <v>2.0114892581316675E-4</v>
      </c>
      <c r="B3" s="1">
        <v>2.2319493958807051E-4</v>
      </c>
      <c r="C3" s="1">
        <v>2.4765720650177903E-4</v>
      </c>
      <c r="D3" s="1">
        <v>2.7480054899749635E-4</v>
      </c>
      <c r="E3" s="1">
        <v>3.0491881417867391E-4</v>
      </c>
      <c r="F3" s="1">
        <v>3.3833805492497639E-4</v>
      </c>
      <c r="G3" s="1">
        <v>3.7542005966000736E-4</v>
      </c>
      <c r="H3" s="1">
        <v>4.165662689831792E-4</v>
      </c>
      <c r="I3" s="1">
        <v>4.6222212156622256E-4</v>
      </c>
      <c r="J3" s="1">
        <v>5.1288187636192603E-4</v>
      </c>
    </row>
    <row r="4" spans="1:10" x14ac:dyDescent="0.7">
      <c r="A4" s="1">
        <v>1.8758752259410307E-4</v>
      </c>
      <c r="B4" s="1">
        <v>2.0814720040690396E-4</v>
      </c>
      <c r="C4" s="1">
        <v>2.3096022826090556E-4</v>
      </c>
      <c r="D4" s="1">
        <v>2.5627357434570766E-4</v>
      </c>
      <c r="E4" s="1">
        <v>2.8436127467683934E-4</v>
      </c>
      <c r="F4" s="1">
        <v>3.15527399741796E-4</v>
      </c>
      <c r="G4" s="1">
        <v>3.5010934629182755E-4</v>
      </c>
      <c r="H4" s="1">
        <v>3.8848148991560915E-4</v>
      </c>
      <c r="I4" s="1">
        <v>4.3105923793664328E-4</v>
      </c>
      <c r="J4" s="1">
        <v>4.7830352651006386E-4</v>
      </c>
    </row>
    <row r="5" spans="1:10" x14ac:dyDescent="0.7">
      <c r="A5" s="1">
        <v>1.7810806302479896E-4</v>
      </c>
      <c r="B5" s="1">
        <v>1.9762878775645017E-4</v>
      </c>
      <c r="C5" s="1">
        <v>2.1928899279897236E-4</v>
      </c>
      <c r="D5" s="1">
        <v>2.4332316616771955E-4</v>
      </c>
      <c r="E5" s="1">
        <v>2.699914958712016E-4</v>
      </c>
      <c r="F5" s="1">
        <v>2.9958268664202363E-4</v>
      </c>
      <c r="G5" s="1">
        <v>3.3241708538282207E-4</v>
      </c>
      <c r="H5" s="1">
        <v>3.6885014916249127E-4</v>
      </c>
      <c r="I5" s="1">
        <v>4.0927629330638041E-4</v>
      </c>
      <c r="J5" s="1">
        <v>4.5413316123892343E-4</v>
      </c>
    </row>
    <row r="6" spans="1:10" x14ac:dyDescent="0.7">
      <c r="A6" s="1">
        <v>1.7090088701920782E-4</v>
      </c>
      <c r="B6" s="1">
        <v>1.8963170198198947E-4</v>
      </c>
      <c r="C6" s="1">
        <v>2.1041542278563163E-4</v>
      </c>
      <c r="D6" s="1">
        <v>2.334770488441915E-4</v>
      </c>
      <c r="E6" s="1">
        <v>2.5906623960986251E-4</v>
      </c>
      <c r="F6" s="1">
        <v>2.8746001732437313E-4</v>
      </c>
      <c r="G6" s="1">
        <v>3.1896576599316532E-4</v>
      </c>
      <c r="H6" s="1">
        <v>3.539245590485139E-4</v>
      </c>
      <c r="I6" s="1">
        <v>3.9271485172602788E-4</v>
      </c>
      <c r="J6" s="1">
        <v>4.3575657812730572E-4</v>
      </c>
    </row>
    <row r="7" spans="1:10" x14ac:dyDescent="0.7">
      <c r="A7" s="1">
        <v>1.6513124699336099E-4</v>
      </c>
      <c r="B7" s="1">
        <v>1.832297067846109E-4</v>
      </c>
      <c r="C7" s="1">
        <v>2.0331176600225307E-4</v>
      </c>
      <c r="D7" s="1">
        <v>2.2559482804579043E-4</v>
      </c>
      <c r="E7" s="1">
        <v>2.5032012382621187E-4</v>
      </c>
      <c r="F7" s="1">
        <v>2.7775532327208935E-4</v>
      </c>
      <c r="G7" s="1">
        <v>3.0819743305793507E-4</v>
      </c>
      <c r="H7" s="1">
        <v>3.4197601192489967E-4</v>
      </c>
      <c r="I7" s="1">
        <v>3.7945673840208516E-4</v>
      </c>
      <c r="J7" s="1">
        <v>4.2104536955173686E-4</v>
      </c>
    </row>
    <row r="8" spans="1:10" x14ac:dyDescent="0.7">
      <c r="A8" s="1">
        <v>1.6034761916143298E-4</v>
      </c>
      <c r="B8" s="1">
        <v>1.7792179116615645E-4</v>
      </c>
      <c r="C8" s="1">
        <v>1.9742210041736257E-4</v>
      </c>
      <c r="D8" s="1">
        <v>2.1905965243349538E-4</v>
      </c>
      <c r="E8" s="1">
        <v>2.430686899938556E-4</v>
      </c>
      <c r="F8" s="1">
        <v>2.6970912899291691E-4</v>
      </c>
      <c r="G8" s="1">
        <v>2.9926937222542627E-4</v>
      </c>
      <c r="H8" s="1">
        <v>3.3206943156363373E-4</v>
      </c>
      <c r="I8" s="1">
        <v>3.6846439232656695E-4</v>
      </c>
      <c r="J8" s="1">
        <v>4.0884825734575263E-4</v>
      </c>
    </row>
    <row r="9" spans="1:10" x14ac:dyDescent="0.7">
      <c r="A9" s="1">
        <v>1.5627933346876828E-4</v>
      </c>
      <c r="B9" s="1">
        <v>1.7340761951084956E-4</v>
      </c>
      <c r="C9" s="1">
        <v>1.92413173495067E-4</v>
      </c>
      <c r="D9" s="1">
        <v>2.1350174484187709E-4</v>
      </c>
      <c r="E9" s="1">
        <v>2.3690163320181772E-4</v>
      </c>
      <c r="F9" s="1">
        <v>2.628661599709815E-4</v>
      </c>
      <c r="G9" s="1">
        <v>2.9167641068571302E-4</v>
      </c>
      <c r="H9" s="1">
        <v>3.2364427798501109E-4</v>
      </c>
      <c r="I9" s="1">
        <v>3.5911583808299408E-4</v>
      </c>
      <c r="J9" s="1">
        <v>3.9847509730428032E-4</v>
      </c>
    </row>
    <row r="10" spans="1:10" x14ac:dyDescent="0.7">
      <c r="A10" s="1">
        <v>1.5275193686669546E-4</v>
      </c>
      <c r="B10" s="1">
        <v>1.6949361863652151E-4</v>
      </c>
      <c r="C10" s="1">
        <v>1.8807019634437249E-4</v>
      </c>
      <c r="D10" s="1">
        <v>2.0868277541977848E-4</v>
      </c>
      <c r="E10" s="1">
        <v>2.3155450253883241E-4</v>
      </c>
      <c r="F10" s="1">
        <v>2.5693298135483992E-4</v>
      </c>
      <c r="G10" s="1">
        <v>2.8509295299414771E-4</v>
      </c>
      <c r="H10" s="1">
        <v>3.1633927033553316E-4</v>
      </c>
      <c r="I10" s="1">
        <v>3.5101019827197069E-4</v>
      </c>
      <c r="J10" s="1">
        <v>3.8948107568258792E-4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Sheet1</vt:lpstr>
      <vt:lpstr>10分割</vt:lpstr>
      <vt:lpstr>newt10</vt:lpstr>
      <vt:lpstr>Sheet2</vt:lpstr>
      <vt:lpstr>s</vt:lpstr>
      <vt:lpstr>t</vt:lpstr>
      <vt:lpstr>s10</vt:lpstr>
      <vt:lpstr>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2025-07-01T07:48:52Z</dcterms:created>
  <dcterms:modified xsi:type="dcterms:W3CDTF">2025-12-01T23:57:41Z</dcterms:modified>
</cp:coreProperties>
</file>