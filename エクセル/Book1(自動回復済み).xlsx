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02\OneDrive\研究\エクセル\"/>
    </mc:Choice>
  </mc:AlternateContent>
  <xr:revisionPtr revIDLastSave="0" documentId="13_ncr:2001_{271C105C-F99B-4A23-8FB0-614A3E4064C0}" xr6:coauthVersionLast="47" xr6:coauthVersionMax="47" xr10:uidLastSave="{00000000-0000-0000-0000-000000000000}"/>
  <bookViews>
    <workbookView xWindow="1477" yWindow="1958" windowWidth="13636" windowHeight="11767" xr2:uid="{F8EE9BE5-4AB5-4FE5-8BF4-CBFF607AF22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5" i="1"/>
  <c r="K6" i="1"/>
  <c r="K7" i="1"/>
  <c r="K9" i="1"/>
  <c r="K10" i="1"/>
  <c r="K11" i="1"/>
  <c r="K12" i="1"/>
  <c r="K4" i="1"/>
  <c r="K3" i="1"/>
  <c r="G3" i="1"/>
  <c r="G8" i="1"/>
  <c r="G4" i="1"/>
  <c r="F17" i="1"/>
  <c r="H3" i="1"/>
  <c r="H4" i="1"/>
  <c r="G5" i="1"/>
  <c r="G6" i="1" s="1"/>
  <c r="G7" i="1" s="1"/>
  <c r="E3" i="1"/>
  <c r="E4" i="1"/>
  <c r="E5" i="1" s="1"/>
  <c r="E6" i="1" s="1"/>
  <c r="E7" i="1" s="1"/>
  <c r="E8" i="1" s="1"/>
  <c r="E9" i="1" s="1"/>
  <c r="E10" i="1" s="1"/>
  <c r="E11" i="1" s="1"/>
  <c r="E12" i="1" s="1"/>
  <c r="C3" i="1"/>
  <c r="L4" i="1" l="1"/>
  <c r="L3" i="1"/>
  <c r="G9" i="1"/>
  <c r="G10" i="1" s="1"/>
  <c r="G11" i="1" s="1"/>
  <c r="G12" i="1" s="1"/>
  <c r="H5" i="1"/>
  <c r="L5" i="1" l="1"/>
  <c r="H6" i="1"/>
  <c r="L6" i="1" l="1"/>
  <c r="H7" i="1"/>
  <c r="L7" i="1" l="1"/>
  <c r="H8" i="1"/>
  <c r="L8" i="1" l="1"/>
  <c r="H9" i="1"/>
  <c r="L9" i="1" l="1"/>
  <c r="H10" i="1"/>
  <c r="L10" i="1" l="1"/>
  <c r="H12" i="1"/>
  <c r="H11" i="1"/>
  <c r="L12" i="1" l="1"/>
  <c r="L11" i="1"/>
</calcChain>
</file>

<file path=xl/sharedStrings.xml><?xml version="1.0" encoding="utf-8"?>
<sst xmlns="http://schemas.openxmlformats.org/spreadsheetml/2006/main" count="10" uniqueCount="10">
  <si>
    <t>S1</t>
    <phoneticPr fontId="1"/>
  </si>
  <si>
    <t>S2</t>
  </si>
  <si>
    <t>S3</t>
  </si>
  <si>
    <t>S4</t>
  </si>
  <si>
    <t>S5</t>
  </si>
  <si>
    <t>S6</t>
  </si>
  <si>
    <t>S7</t>
  </si>
  <si>
    <t>S8</t>
  </si>
  <si>
    <t>S9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</si>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</sst>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Sheet1!$H$3:$H$12</c:f>
              <c:numCache>
                <c:formatCode>General</c:formatCode>
                <c:ptCount val="10"/>
                <c:pt idx="0">
                  <c:v>6.1900342587308091E-5</c:v>
                </c:pt>
                <c:pt idx="1">
                  <c:v>4.5501541297604908E-5</c:v>
                </c:pt>
                <c:pt idx="2">
                  <c:v>1.0275178633210341E-4</c:v>
                </c:pt>
                <c:pt idx="3">
                  <c:v>8.3598792354249129E-5</c:v>
                </c:pt>
                <c:pt idx="4">
                  <c:v>1.3892384883623123E-4</c:v>
                </c:pt>
                <c:pt idx="5">
                  <c:v>1.1830714559937387E-4</c:v>
                </c:pt>
                <c:pt idx="6">
                  <c:v>1.7246044277918345E-4</c:v>
                </c:pt>
                <c:pt idx="7">
                  <c:v>1.5087222998798938E-4</c:v>
                </c:pt>
                <c:pt idx="8">
                  <c:v>2.0419929683403119E-4</c:v>
                </c:pt>
                <c:pt idx="9">
                  <c:v>1.8189470316596877E-4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25-4072-9371-A2B3AEE6C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987344"/>
        <c:axId val="283983984"/>
      </c:lineChart>
      <c:catAx>
        <c:axId val="28398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3983984"/>
        <c:crosses val="autoZero"/>
        <c:auto val="1"/>
        <c:lblAlgn val="ctr"/>
        <c:lblOffset val="100"/>
        <c:noMultiLvlLbl val="0"/>
      </c:catAx>
      <c:valAx>
        <c:axId val="28398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398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Sheet1!$L$3:$L$12</c:f>
              <c:numCache>
                <c:formatCode>General</c:formatCode>
                <c:ptCount val="10"/>
                <c:pt idx="0">
                  <c:v>4.620296696706189E-4</c:v>
                </c:pt>
                <c:pt idx="1">
                  <c:v>3.3962755643208569E-4</c:v>
                </c:pt>
                <c:pt idx="2">
                  <c:v>7.669484838492926E-4</c:v>
                </c:pt>
                <c:pt idx="3">
                  <c:v>6.2398883110892508E-4</c:v>
                </c:pt>
                <c:pt idx="4">
                  <c:v>1.0369399797204939E-3</c:v>
                </c:pt>
                <c:pt idx="5">
                  <c:v>8.8305507071878792E-4</c:v>
                </c:pt>
                <c:pt idx="6">
                  <c:v>1.2872601035467054E-3</c:v>
                </c:pt>
                <c:pt idx="7">
                  <c:v>1.1261237607126436E-3</c:v>
                </c:pt>
                <c:pt idx="8">
                  <c:v>1.5241617367485229E-3</c:v>
                </c:pt>
                <c:pt idx="9">
                  <c:v>1.3576782632514761E-3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53-45E0-848D-E97AAC487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091168"/>
        <c:axId val="291092128"/>
      </c:lineChart>
      <c:catAx>
        <c:axId val="29109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1092128"/>
        <c:crosses val="autoZero"/>
        <c:auto val="1"/>
        <c:lblAlgn val="ctr"/>
        <c:lblOffset val="100"/>
        <c:noMultiLvlLbl val="0"/>
      </c:catAx>
      <c:valAx>
        <c:axId val="2910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109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585787</xdr:colOff>
      <xdr:row>13</xdr:row>
      <xdr:rowOff>121442</xdr:rowOff>
    </xdr:from>
    <xdr:to>
      <xdr:col>9</xdr:col>
      <xdr:colOff>214312</xdr:colOff>
      <xdr:row>25</xdr:row>
      <xdr:rowOff>178592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BD1063B-06FA-554A-81C0-81B73D736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12</xdr:row>
      <xdr:rowOff>188118</xdr:rowOff>
    </xdr:from>
    <xdr:to>
      <xdr:col>16</xdr:col>
      <xdr:colOff>428625</xdr:colOff>
      <xdr:row>25</xdr:row>
      <xdr:rowOff>21430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43A8978-DAAE-F701-C1C2-BF9BAFFA2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2D2F-DC4E-463A-A0DF-E58A52C28675}">
  <dimension ref="B3:L17"/>
  <sheetViews>
    <sheetView tabSelected="1" topLeftCell="G2" workbookViewId="0">
      <selection activeCell="L3" sqref="L3:L12"/>
    </sheetView>
  </sheetViews>
  <sheetFormatPr defaultRowHeight="17.649999999999999" x14ac:dyDescent="0.7"/>
  <cols>
    <col min="3" max="3" width="12.625" bestFit="1" customWidth="1"/>
    <col min="6" max="8" width="12.625" bestFit="1" customWidth="1"/>
    <col min="11" max="11" width="12.625" bestFit="1" customWidth="1"/>
  </cols>
  <sheetData>
    <row r="3" spans="2:12" x14ac:dyDescent="0.7">
      <c r="B3">
        <v>0.79500000000000004</v>
      </c>
      <c r="C3">
        <f>3.86094*10^-5</f>
        <v>3.8609400000000003E-5</v>
      </c>
      <c r="D3">
        <v>0.1</v>
      </c>
      <c r="E3">
        <f>D3</f>
        <v>0.1</v>
      </c>
      <c r="F3" t="s">
        <v>0</v>
      </c>
      <c r="G3">
        <f>$C$3*(E3^$B$3)</f>
        <v>6.1900342587308094E-6</v>
      </c>
      <c r="H3">
        <f>G3/$D$3</f>
        <v>6.1900342587308091E-5</v>
      </c>
      <c r="K3" s="1">
        <f>$C$4*(E3^$B$3)</f>
        <v>4.6202966967061892E-5</v>
      </c>
      <c r="L3">
        <f>K3/$D$3</f>
        <v>4.620296696706189E-4</v>
      </c>
    </row>
    <row r="4" spans="2:12" x14ac:dyDescent="0.7">
      <c r="C4" s="1">
        <v>2.8818399999999998E-4</v>
      </c>
      <c r="E4">
        <f>E3+$D$3</f>
        <v>0.2</v>
      </c>
      <c r="F4" t="s">
        <v>1</v>
      </c>
      <c r="G4">
        <f>($C$3*(E4^$B$3)-G3)</f>
        <v>4.5501541297604908E-6</v>
      </c>
      <c r="H4">
        <f t="shared" ref="H4:H12" si="0">G4/$D$3</f>
        <v>4.5501541297604908E-5</v>
      </c>
      <c r="K4" s="1">
        <f>($C$4*(E4^$B$3)-K3)</f>
        <v>3.3962755643208573E-5</v>
      </c>
      <c r="L4">
        <f t="shared" ref="L4:L12" si="1">K4/$D$3</f>
        <v>3.3962755643208569E-4</v>
      </c>
    </row>
    <row r="5" spans="2:12" x14ac:dyDescent="0.7">
      <c r="E5">
        <f t="shared" ref="E5:E12" si="2">E4+$D$3</f>
        <v>0.30000000000000004</v>
      </c>
      <c r="F5" t="s">
        <v>2</v>
      </c>
      <c r="G5">
        <f t="shared" ref="G5:G11" si="3">($C$3*(E5^$B$3)-G4)</f>
        <v>1.0275178633210341E-5</v>
      </c>
      <c r="H5">
        <f t="shared" si="0"/>
        <v>1.0275178633210341E-4</v>
      </c>
      <c r="K5" s="1">
        <f t="shared" ref="K5:K12" si="4">($C$4*(E5^$B$3)-K4)</f>
        <v>7.6694848384929265E-5</v>
      </c>
      <c r="L5">
        <f t="shared" si="1"/>
        <v>7.669484838492926E-4</v>
      </c>
    </row>
    <row r="6" spans="2:12" x14ac:dyDescent="0.7">
      <c r="E6">
        <f t="shared" si="2"/>
        <v>0.4</v>
      </c>
      <c r="F6" t="s">
        <v>3</v>
      </c>
      <c r="G6">
        <f t="shared" si="3"/>
        <v>8.3598792354249136E-6</v>
      </c>
      <c r="H6">
        <f t="shared" si="0"/>
        <v>8.3598792354249129E-5</v>
      </c>
      <c r="K6" s="1">
        <f t="shared" si="4"/>
        <v>6.2398883110892513E-5</v>
      </c>
      <c r="L6">
        <f t="shared" si="1"/>
        <v>6.2398883110892508E-4</v>
      </c>
    </row>
    <row r="7" spans="2:12" x14ac:dyDescent="0.7">
      <c r="E7">
        <f t="shared" si="2"/>
        <v>0.5</v>
      </c>
      <c r="F7" t="s">
        <v>4</v>
      </c>
      <c r="G7">
        <f t="shared" si="3"/>
        <v>1.3892384883623123E-5</v>
      </c>
      <c r="H7">
        <f t="shared" si="0"/>
        <v>1.3892384883623123E-4</v>
      </c>
      <c r="K7" s="1">
        <f t="shared" si="4"/>
        <v>1.036939979720494E-4</v>
      </c>
      <c r="L7">
        <f t="shared" si="1"/>
        <v>1.0369399797204939E-3</v>
      </c>
    </row>
    <row r="8" spans="2:12" x14ac:dyDescent="0.7">
      <c r="E8">
        <f t="shared" si="2"/>
        <v>0.6</v>
      </c>
      <c r="F8" t="s">
        <v>5</v>
      </c>
      <c r="G8">
        <f>($C$3*(E8^$B$3)-G7)</f>
        <v>1.1830714559937388E-5</v>
      </c>
      <c r="H8">
        <f t="shared" si="0"/>
        <v>1.1830714559937387E-4</v>
      </c>
      <c r="K8" s="1">
        <f>($C$4*(E8^$B$3)-K7)</f>
        <v>8.8305507071878792E-5</v>
      </c>
      <c r="L8">
        <f t="shared" si="1"/>
        <v>8.8305507071878792E-4</v>
      </c>
    </row>
    <row r="9" spans="2:12" x14ac:dyDescent="0.7">
      <c r="E9">
        <f t="shared" si="2"/>
        <v>0.7</v>
      </c>
      <c r="F9" t="s">
        <v>6</v>
      </c>
      <c r="G9">
        <f t="shared" si="3"/>
        <v>1.7246044277918345E-5</v>
      </c>
      <c r="H9">
        <f t="shared" si="0"/>
        <v>1.7246044277918345E-4</v>
      </c>
      <c r="K9" s="1">
        <f t="shared" si="4"/>
        <v>1.2872601035467056E-4</v>
      </c>
      <c r="L9">
        <f t="shared" si="1"/>
        <v>1.2872601035467054E-3</v>
      </c>
    </row>
    <row r="10" spans="2:12" x14ac:dyDescent="0.7">
      <c r="E10">
        <f t="shared" si="2"/>
        <v>0.79999999999999993</v>
      </c>
      <c r="F10" t="s">
        <v>7</v>
      </c>
      <c r="G10">
        <f t="shared" si="3"/>
        <v>1.5087222998798938E-5</v>
      </c>
      <c r="H10">
        <f t="shared" si="0"/>
        <v>1.5087222998798938E-4</v>
      </c>
      <c r="K10" s="1">
        <f t="shared" si="4"/>
        <v>1.1261237607126438E-4</v>
      </c>
      <c r="L10">
        <f t="shared" si="1"/>
        <v>1.1261237607126436E-3</v>
      </c>
    </row>
    <row r="11" spans="2:12" x14ac:dyDescent="0.7">
      <c r="E11">
        <f t="shared" si="2"/>
        <v>0.89999999999999991</v>
      </c>
      <c r="F11" t="s">
        <v>8</v>
      </c>
      <c r="G11">
        <f t="shared" si="3"/>
        <v>2.0419929683403119E-5</v>
      </c>
      <c r="H11">
        <f t="shared" si="0"/>
        <v>2.0419929683403119E-4</v>
      </c>
      <c r="K11" s="1">
        <f t="shared" si="4"/>
        <v>1.524161736748523E-4</v>
      </c>
      <c r="L11">
        <f t="shared" si="1"/>
        <v>1.5241617367485229E-3</v>
      </c>
    </row>
    <row r="12" spans="2:12" x14ac:dyDescent="0.7">
      <c r="E12">
        <f t="shared" si="2"/>
        <v>0.99999999999999989</v>
      </c>
      <c r="F12" t="s">
        <v>9</v>
      </c>
      <c r="G12">
        <f>($C$3*(E12^$B$3)-G11)</f>
        <v>1.8189470316596877E-5</v>
      </c>
      <c r="H12">
        <f t="shared" si="0"/>
        <v>1.8189470316596877E-4</v>
      </c>
      <c r="K12" s="1">
        <f t="shared" si="4"/>
        <v>1.3576782632514762E-4</v>
      </c>
      <c r="L12">
        <f t="shared" si="1"/>
        <v>1.3576782632514761E-3</v>
      </c>
    </row>
    <row r="17" spans="6:6" x14ac:dyDescent="0.7">
      <c r="F17">
        <f>($C$3*(E12^$B$3))</f>
        <v>3.8609399999999997E-5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kitn.lzh →</dc:creator>
  <cp:lastModifiedBy>kitn.lzh →</cp:lastModifiedBy>
  <dcterms:created xsi:type="dcterms:W3CDTF">2025-06-20T07:53:34Z</dcterms:created>
  <dcterms:modified xsi:type="dcterms:W3CDTF">2025-07-07T06:01:08Z</dcterms:modified>
</cp:coreProperties>
</file>