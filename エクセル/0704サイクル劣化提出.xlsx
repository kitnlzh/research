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02\OneDrive\研究\エクセル\"/>
    </mc:Choice>
  </mc:AlternateContent>
  <xr:revisionPtr revIDLastSave="0" documentId="8_{1E635103-73C7-4D21-981D-2FB184A732C6}" xr6:coauthVersionLast="47" xr6:coauthVersionMax="47" xr10:uidLastSave="{00000000-0000-0000-0000-000000000000}"/>
  <bookViews>
    <workbookView xWindow="-98" yWindow="-98" windowWidth="21795" windowHeight="14595" activeTab="1" xr2:uid="{38B92C87-5584-48A8-BC1A-83D77667B687}"/>
  </bookViews>
  <sheets>
    <sheet name="Sheet1" sheetId="1" r:id="rId1"/>
    <sheet name="s" sheetId="2" r:id="rId2"/>
    <sheet name="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12" i="1"/>
  <c r="K13" i="1"/>
  <c r="L14" i="1"/>
  <c r="M14" i="1"/>
  <c r="N14" i="1"/>
  <c r="N13" i="1"/>
  <c r="M11" i="1"/>
  <c r="N11" i="1"/>
  <c r="M12" i="1"/>
  <c r="N12" i="1"/>
  <c r="M13" i="1"/>
  <c r="L12" i="1"/>
  <c r="L13" i="1"/>
  <c r="L11" i="1"/>
  <c r="K11" i="1"/>
  <c r="K7" i="1"/>
  <c r="F7" i="1"/>
  <c r="K8" i="1" s="1"/>
  <c r="I6" i="1"/>
  <c r="H6" i="1"/>
  <c r="G6" i="1"/>
  <c r="L7" i="1" s="1"/>
  <c r="I11" i="1"/>
  <c r="G11" i="1"/>
  <c r="H11" i="1"/>
  <c r="D7" i="1"/>
  <c r="C7" i="1"/>
  <c r="B7" i="1"/>
  <c r="N7" i="1"/>
  <c r="M7" i="1"/>
  <c r="M8" i="1"/>
  <c r="N8" i="1"/>
  <c r="M9" i="1"/>
  <c r="N9" i="1"/>
  <c r="L8" i="1"/>
  <c r="L9" i="1"/>
  <c r="K9" i="1"/>
  <c r="M6" i="1"/>
  <c r="N6" i="1"/>
  <c r="K6" i="1"/>
  <c r="I9" i="1"/>
  <c r="I7" i="1"/>
  <c r="I8" i="1"/>
  <c r="H7" i="1"/>
  <c r="H8" i="1"/>
  <c r="H9" i="1"/>
  <c r="G9" i="1"/>
  <c r="G7" i="1"/>
  <c r="G8" i="1"/>
  <c r="F6" i="1"/>
  <c r="F9" i="1"/>
  <c r="F8" i="1"/>
  <c r="A10" i="1"/>
  <c r="A9" i="1"/>
  <c r="A8" i="1"/>
  <c r="D3" i="1"/>
  <c r="L6" i="1" l="1"/>
</calcChain>
</file>

<file path=xl/sharedStrings.xml><?xml version="1.0" encoding="utf-8"?>
<sst xmlns="http://schemas.openxmlformats.org/spreadsheetml/2006/main" count="6" uniqueCount="4">
  <si>
    <t>sdata</t>
    <phoneticPr fontId="2"/>
  </si>
  <si>
    <t>tdata</t>
    <phoneticPr fontId="2"/>
  </si>
  <si>
    <t>i</t>
    <phoneticPr fontId="2"/>
  </si>
  <si>
    <t>j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</si>
</sst>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A1B1-C455-474A-9182-6FDBB7ACCED5}">
  <dimension ref="A3:N24"/>
  <sheetViews>
    <sheetView topLeftCell="E6" workbookViewId="0">
      <selection activeCell="K6" sqref="K6:N9"/>
    </sheetView>
  </sheetViews>
  <sheetFormatPr defaultRowHeight="17.649999999999999" x14ac:dyDescent="0.7"/>
  <cols>
    <col min="7" max="7" width="12.625" bestFit="1" customWidth="1"/>
    <col min="12" max="12" width="12.625" bestFit="1" customWidth="1"/>
  </cols>
  <sheetData>
    <row r="3" spans="1:14" x14ac:dyDescent="0.7">
      <c r="B3">
        <v>0.5</v>
      </c>
      <c r="C3">
        <v>1.04</v>
      </c>
      <c r="D3">
        <f>2.88184*10^-4</f>
        <v>2.8818400000000003E-4</v>
      </c>
      <c r="E3">
        <v>0.79500000000000004</v>
      </c>
    </row>
    <row r="5" spans="1:14" x14ac:dyDescent="0.7">
      <c r="K5" t="s">
        <v>0</v>
      </c>
    </row>
    <row r="6" spans="1:14" x14ac:dyDescent="0.7">
      <c r="F6">
        <f>EXP($C$3*(A7-$B$3))*$D$3*(A7^$E$3)</f>
        <v>0</v>
      </c>
      <c r="G6">
        <f>EXP($C$3*(A7-$B$3))*$D$3*($A$8^$E$3)</f>
        <v>7.153611274364637E-5</v>
      </c>
      <c r="H6">
        <f>EXP($C$3*(A7-$B$3))*$D$3*($A$9^$E$3)</f>
        <v>1.2412069066717059E-4</v>
      </c>
      <c r="I6">
        <f>EXP($C$3*(A7-$B$3))*$D$3*($A$10^$E$3)</f>
        <v>1.7133130959624251E-4</v>
      </c>
      <c r="K6" s="1">
        <f>F6</f>
        <v>0</v>
      </c>
      <c r="L6" s="1">
        <f t="shared" ref="L6:N6" si="0">G6</f>
        <v>7.153611274364637E-5</v>
      </c>
      <c r="M6" s="1">
        <f t="shared" si="0"/>
        <v>1.2412069066717059E-4</v>
      </c>
      <c r="N6" s="1">
        <f t="shared" si="0"/>
        <v>1.7133130959624251E-4</v>
      </c>
    </row>
    <row r="7" spans="1:14" x14ac:dyDescent="0.7">
      <c r="A7">
        <v>0</v>
      </c>
      <c r="B7">
        <f>1/3</f>
        <v>0.33333333333333331</v>
      </c>
      <c r="C7">
        <f>2/3</f>
        <v>0.66666666666666663</v>
      </c>
      <c r="D7">
        <f>3/3</f>
        <v>1</v>
      </c>
      <c r="F7">
        <f>EXP($C$3*(A8-$B$3))*$D$3*($A$7^$E$3)</f>
        <v>0</v>
      </c>
      <c r="G7">
        <f t="shared" ref="G7:G8" si="1">EXP($C$3*(A8-$B$3))*$D$3*($A$8^$E$3)</f>
        <v>1.0117675757028321E-4</v>
      </c>
      <c r="H7">
        <f t="shared" ref="H7:H9" si="2">EXP($C$3*(A8-$B$3))*$D$3*($A$9^$E$3)</f>
        <v>1.7554950286565309E-4</v>
      </c>
      <c r="I7">
        <f t="shared" ref="I7:I8" si="3">EXP($C$3*(A8-$B$3))*$D$3*($A$10^$E$3)</f>
        <v>2.4232161506088806E-4</v>
      </c>
      <c r="K7" s="1">
        <f>F7-F6/$A$8</f>
        <v>0</v>
      </c>
      <c r="L7" s="1">
        <f>(G7-G6)/$A$8</f>
        <v>8.8921934479910511E-5</v>
      </c>
      <c r="M7" s="1">
        <f>(H7-H6)/$A$8</f>
        <v>1.5428643659544749E-4</v>
      </c>
      <c r="N7" s="1">
        <f t="shared" ref="M7:N9" si="4">(I7-I6)/$A$8</f>
        <v>2.1297091639393663E-4</v>
      </c>
    </row>
    <row r="8" spans="1:14" x14ac:dyDescent="0.7">
      <c r="A8">
        <f>1/3</f>
        <v>0.33333333333333331</v>
      </c>
      <c r="F8">
        <f t="shared" ref="F8" si="5">EXP($C$3*(A9-$B$3))*$D$3*($A$7^$E$3)</f>
        <v>0</v>
      </c>
      <c r="G8">
        <f t="shared" si="1"/>
        <v>1.4309886125794637E-4</v>
      </c>
      <c r="H8">
        <f t="shared" si="2"/>
        <v>2.4828759645734942E-4</v>
      </c>
      <c r="I8">
        <f t="shared" si="3"/>
        <v>3.4272641272687157E-4</v>
      </c>
      <c r="K8" s="1">
        <f t="shared" ref="K8:K9" si="6">F8-F7/$A$8</f>
        <v>0</v>
      </c>
      <c r="L8" s="1">
        <f t="shared" ref="L8:L9" si="7">(G8-G7)/$A$8</f>
        <v>1.257663110629895E-4</v>
      </c>
      <c r="M8" s="1">
        <f t="shared" si="4"/>
        <v>2.1821428077508899E-4</v>
      </c>
      <c r="N8" s="1">
        <f t="shared" si="4"/>
        <v>3.0121439299795054E-4</v>
      </c>
    </row>
    <row r="9" spans="1:14" x14ac:dyDescent="0.7">
      <c r="A9">
        <f>2/3</f>
        <v>0.66666666666666663</v>
      </c>
      <c r="F9">
        <f>EXP($C$3*(A10-$B$3))*$D$3*($A$7^$E$3)</f>
        <v>0</v>
      </c>
      <c r="G9">
        <f>EXP($C$3*(A10-$B$3))*$D$3*($A$8^$E$3)</f>
        <v>2.0239118731489573E-4</v>
      </c>
      <c r="H9">
        <f t="shared" si="2"/>
        <v>3.511643698686258E-4</v>
      </c>
      <c r="I9">
        <f>EXP($C$3*(A10-$B$3))*$D$3*($A$10^$E$3)</f>
        <v>4.8473345620082391E-4</v>
      </c>
      <c r="K9" s="1">
        <f t="shared" si="6"/>
        <v>0</v>
      </c>
      <c r="L9" s="1">
        <f t="shared" si="7"/>
        <v>1.7787697817084807E-4</v>
      </c>
      <c r="M9" s="1">
        <f t="shared" si="4"/>
        <v>3.0863032023382915E-4</v>
      </c>
      <c r="N9" s="1">
        <f t="shared" si="4"/>
        <v>4.2602113042185702E-4</v>
      </c>
    </row>
    <row r="10" spans="1:14" x14ac:dyDescent="0.7">
      <c r="A10">
        <f>3/3</f>
        <v>1</v>
      </c>
    </row>
    <row r="11" spans="1:14" x14ac:dyDescent="0.7">
      <c r="G11">
        <f t="shared" ref="G11:H11" si="8">EXP($C$3*($A$7-$B$3))*$D$3*(B7^$E$3)</f>
        <v>7.153611274364637E-5</v>
      </c>
      <c r="H11">
        <f t="shared" si="8"/>
        <v>1.2412069066717059E-4</v>
      </c>
      <c r="I11">
        <f>EXP($C$3*($A$7-$B$3))*$D$3*(D7^$E$3)</f>
        <v>1.7133130959624251E-4</v>
      </c>
      <c r="K11">
        <f>F6</f>
        <v>0</v>
      </c>
      <c r="L11">
        <f>(G6-F6)/$A$8</f>
        <v>2.1460833823093911E-4</v>
      </c>
      <c r="M11">
        <f t="shared" ref="M11:N13" si="9">(H6-G6)/$A$8</f>
        <v>1.5775373377057266E-4</v>
      </c>
      <c r="N11">
        <f t="shared" si="9"/>
        <v>1.4163185678721577E-4</v>
      </c>
    </row>
    <row r="12" spans="1:14" x14ac:dyDescent="0.7">
      <c r="K12">
        <f t="shared" ref="K12:K13" si="10">F7</f>
        <v>0</v>
      </c>
      <c r="L12">
        <f t="shared" ref="L12:L13" si="11">(G7-F7)/$A$8</f>
        <v>3.0353027271084966E-4</v>
      </c>
      <c r="M12">
        <f t="shared" si="9"/>
        <v>2.2311823588610965E-4</v>
      </c>
      <c r="N12">
        <f t="shared" si="9"/>
        <v>2.0031633658570492E-4</v>
      </c>
    </row>
    <row r="13" spans="1:14" x14ac:dyDescent="0.7">
      <c r="K13">
        <f t="shared" si="10"/>
        <v>0</v>
      </c>
      <c r="L13">
        <f t="shared" si="11"/>
        <v>4.2929658377383913E-4</v>
      </c>
      <c r="M13">
        <f t="shared" si="9"/>
        <v>3.1556620559820917E-4</v>
      </c>
      <c r="N13">
        <f>(I8-H8)/$A$8</f>
        <v>2.8331644880856647E-4</v>
      </c>
    </row>
    <row r="14" spans="1:14" x14ac:dyDescent="0.7">
      <c r="K14">
        <f>F9</f>
        <v>0</v>
      </c>
      <c r="L14">
        <f t="shared" ref="L14" si="12">(G9-F9)/$A$8</f>
        <v>6.071735619446872E-4</v>
      </c>
      <c r="M14">
        <f t="shared" ref="M14" si="13">(H9-G9)/$A$8</f>
        <v>4.4631954766119025E-4</v>
      </c>
      <c r="N14">
        <f>(I9-H9)/$A$8</f>
        <v>4.0070725899659434E-4</v>
      </c>
    </row>
    <row r="16" spans="1:14" x14ac:dyDescent="0.7">
      <c r="K16">
        <v>0</v>
      </c>
      <c r="L16">
        <v>2.1460833823093911E-4</v>
      </c>
      <c r="M16">
        <v>1.5775373377057266E-4</v>
      </c>
      <c r="N16">
        <v>1.4163185678721577E-4</v>
      </c>
    </row>
    <row r="17" spans="11:14" x14ac:dyDescent="0.7">
      <c r="K17">
        <v>0</v>
      </c>
      <c r="L17">
        <v>3.0353027271084966E-4</v>
      </c>
      <c r="M17">
        <v>2.2311823588610965E-4</v>
      </c>
      <c r="N17">
        <v>2.0031633658570492E-4</v>
      </c>
    </row>
    <row r="18" spans="11:14" x14ac:dyDescent="0.7">
      <c r="K18">
        <v>0</v>
      </c>
      <c r="L18">
        <v>4.2929658377383913E-4</v>
      </c>
      <c r="M18">
        <v>3.1556620559820917E-4</v>
      </c>
      <c r="N18">
        <v>2.8331644880856647E-4</v>
      </c>
    </row>
    <row r="19" spans="11:14" x14ac:dyDescent="0.7">
      <c r="K19">
        <v>0</v>
      </c>
      <c r="L19">
        <v>6.071735619446872E-4</v>
      </c>
      <c r="M19">
        <v>4.4631954766119025E-4</v>
      </c>
      <c r="N19">
        <v>4.0070725899659434E-4</v>
      </c>
    </row>
    <row r="20" spans="11:14" x14ac:dyDescent="0.7">
      <c r="K20" t="s">
        <v>1</v>
      </c>
    </row>
    <row r="21" spans="11:14" x14ac:dyDescent="0.7">
      <c r="K21" s="1">
        <v>0</v>
      </c>
      <c r="L21" s="1">
        <v>0</v>
      </c>
      <c r="M21" s="1">
        <v>0</v>
      </c>
      <c r="N21" s="1">
        <v>0</v>
      </c>
    </row>
    <row r="22" spans="11:14" x14ac:dyDescent="0.7">
      <c r="K22" s="1">
        <v>2.1460833823093911E-4</v>
      </c>
      <c r="L22" s="1">
        <v>3.0353027271084966E-4</v>
      </c>
      <c r="M22" s="1">
        <v>4.2929658377383913E-4</v>
      </c>
      <c r="N22" s="1">
        <v>6.071735619446872E-4</v>
      </c>
    </row>
    <row r="23" spans="11:14" x14ac:dyDescent="0.7">
      <c r="K23" s="1">
        <v>1.5775373377057266E-4</v>
      </c>
      <c r="L23" s="1">
        <v>2.2311823588610965E-4</v>
      </c>
      <c r="M23" s="1">
        <v>3.1556620559820917E-4</v>
      </c>
      <c r="N23" s="1">
        <v>4.4631954766119025E-4</v>
      </c>
    </row>
    <row r="24" spans="11:14" x14ac:dyDescent="0.7">
      <c r="K24" s="1">
        <v>1.4163185678721577E-4</v>
      </c>
      <c r="L24" s="1">
        <v>2.0031633658570492E-4</v>
      </c>
      <c r="M24" s="1">
        <v>2.8331644880856647E-4</v>
      </c>
      <c r="N24" s="1">
        <v>4.0070725899659434E-4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B82B-3BFC-4FDC-BE2B-BED15997BD38}">
  <dimension ref="A1:E13"/>
  <sheetViews>
    <sheetView tabSelected="1" workbookViewId="0">
      <selection activeCell="F9" sqref="F9"/>
    </sheetView>
  </sheetViews>
  <sheetFormatPr defaultRowHeight="17.649999999999999" x14ac:dyDescent="0.7"/>
  <sheetData>
    <row r="1" spans="1:5" x14ac:dyDescent="0.7">
      <c r="B1" t="s">
        <v>2</v>
      </c>
    </row>
    <row r="2" spans="1:5" x14ac:dyDescent="0.7">
      <c r="A2" t="s">
        <v>3</v>
      </c>
      <c r="B2">
        <v>0</v>
      </c>
      <c r="C2">
        <v>7.153611274364637E-5</v>
      </c>
      <c r="D2">
        <v>1.2412069066717059E-4</v>
      </c>
      <c r="E2">
        <v>1.7133130959624251E-4</v>
      </c>
    </row>
    <row r="3" spans="1:5" x14ac:dyDescent="0.7">
      <c r="B3">
        <v>0</v>
      </c>
      <c r="C3">
        <v>8.8921934479910511E-5</v>
      </c>
      <c r="D3">
        <v>1.5428643659544749E-4</v>
      </c>
      <c r="E3">
        <v>2.1297091639393663E-4</v>
      </c>
    </row>
    <row r="4" spans="1:5" x14ac:dyDescent="0.7">
      <c r="B4">
        <v>0</v>
      </c>
      <c r="C4">
        <v>1.257663110629895E-4</v>
      </c>
      <c r="D4">
        <v>2.1821428077508899E-4</v>
      </c>
      <c r="E4">
        <v>3.0121439299795054E-4</v>
      </c>
    </row>
    <row r="5" spans="1:5" x14ac:dyDescent="0.7">
      <c r="B5">
        <v>0</v>
      </c>
      <c r="C5">
        <v>1.7787697817084807E-4</v>
      </c>
      <c r="D5">
        <v>3.0863032023382915E-4</v>
      </c>
      <c r="E5">
        <v>4.2602113042185702E-4</v>
      </c>
    </row>
    <row r="10" spans="1:5" x14ac:dyDescent="0.7">
      <c r="A10">
        <v>0</v>
      </c>
      <c r="B10">
        <v>7.153611274364637E-5</v>
      </c>
      <c r="C10">
        <v>1.2412069066717059E-4</v>
      </c>
      <c r="D10">
        <v>1.7133130959624251E-4</v>
      </c>
    </row>
    <row r="11" spans="1:5" x14ac:dyDescent="0.7">
      <c r="A11">
        <v>0</v>
      </c>
      <c r="B11">
        <v>8.8921934479910511E-5</v>
      </c>
      <c r="C11">
        <v>1.5428643659544749E-4</v>
      </c>
      <c r="D11">
        <v>2.1297091639393663E-4</v>
      </c>
    </row>
    <row r="12" spans="1:5" x14ac:dyDescent="0.7">
      <c r="A12">
        <v>0</v>
      </c>
      <c r="B12">
        <v>1.257663110629895E-4</v>
      </c>
      <c r="C12">
        <v>2.1821428077508899E-4</v>
      </c>
      <c r="D12">
        <v>3.0121439299795054E-4</v>
      </c>
    </row>
    <row r="13" spans="1:5" x14ac:dyDescent="0.7">
      <c r="A13">
        <v>0</v>
      </c>
      <c r="B13">
        <v>1.7787697817084807E-4</v>
      </c>
      <c r="C13">
        <v>3.0863032023382915E-4</v>
      </c>
      <c r="D13">
        <v>4.2602113042185702E-4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CC5D2-D5D2-4B7E-91C2-51DB742A0A5C}">
  <dimension ref="A1:E5"/>
  <sheetViews>
    <sheetView workbookViewId="0">
      <selection activeCell="B2" sqref="B2:E5"/>
    </sheetView>
  </sheetViews>
  <sheetFormatPr defaultRowHeight="17.649999999999999" x14ac:dyDescent="0.7"/>
  <sheetData>
    <row r="1" spans="1:5" x14ac:dyDescent="0.7">
      <c r="B1" t="s">
        <v>2</v>
      </c>
    </row>
    <row r="2" spans="1:5" x14ac:dyDescent="0.7">
      <c r="A2" t="s">
        <v>3</v>
      </c>
      <c r="B2" s="2">
        <v>0</v>
      </c>
      <c r="C2" s="2">
        <v>0</v>
      </c>
      <c r="D2" s="2">
        <v>0</v>
      </c>
      <c r="E2" s="2">
        <v>0</v>
      </c>
    </row>
    <row r="3" spans="1:5" x14ac:dyDescent="0.7">
      <c r="B3" s="2">
        <v>2.1460833823093911E-4</v>
      </c>
      <c r="C3" s="2">
        <v>3.0353027271084966E-4</v>
      </c>
      <c r="D3" s="2">
        <v>4.2929658377383913E-4</v>
      </c>
      <c r="E3" s="2">
        <v>6.071735619446872E-4</v>
      </c>
    </row>
    <row r="4" spans="1:5" x14ac:dyDescent="0.7">
      <c r="B4" s="2">
        <v>1.5775373377057266E-4</v>
      </c>
      <c r="C4" s="2">
        <v>2.2311823588610965E-4</v>
      </c>
      <c r="D4" s="2">
        <v>3.1556620559820917E-4</v>
      </c>
      <c r="E4" s="2">
        <v>4.4631954766119025E-4</v>
      </c>
    </row>
    <row r="5" spans="1:5" x14ac:dyDescent="0.7">
      <c r="B5" s="2">
        <v>1.4163185678721577E-4</v>
      </c>
      <c r="C5" s="2">
        <v>2.0031633658570492E-4</v>
      </c>
      <c r="D5" s="2">
        <v>2.8331644880856647E-4</v>
      </c>
      <c r="E5" s="2">
        <v>4.0070725899659434E-4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kitn.lzh →</dc:creator>
  <cp:lastModifiedBy>kitn.lzh →</cp:lastModifiedBy>
  <dcterms:created xsi:type="dcterms:W3CDTF">2025-07-01T07:48:52Z</dcterms:created>
  <dcterms:modified xsi:type="dcterms:W3CDTF">2025-07-24T08:56:43Z</dcterms:modified>
</cp:coreProperties>
</file>